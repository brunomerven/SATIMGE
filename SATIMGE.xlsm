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D96100EC-88B6-466F-909C-72ADA3DF5E81}" xr6:coauthVersionLast="47" xr6:coauthVersionMax="47" xr10:uidLastSave="{00000000-0000-0000-0000-000000000000}"/>
  <bookViews>
    <workbookView xWindow="0" yWindow="165" windowWidth="28800" windowHeight="1543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9973" r:id="rId9"/>
    <pivotCache cacheId="4997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6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<sst xmlns="http://schemas.openxmlformats.org/spreadsheetml/2006/main" count="1782" uniqueCount="367">
  <si>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</si>
  <si>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</si>
  <si>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</si>
  <si>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</si>
  <si>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</si>
  <si>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</si>
  <si>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</si>
  <si>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</si>
  <si>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</si>
  <si>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</si>
  <si>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</si>
  <si>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</si>
  <si>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</si>
  <si>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</si>
  <si>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</si>
  <si>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</si>
  <si>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</si>
  <si>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</si>
  <si>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</si>
  <si>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</si>
  <si>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</si>
  <si>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</si>
  <si>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</si>
  <si>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</si>
  <si>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</si>
  <si>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</si>
  <si>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</si>
  <si>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</si>
  <si>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</si>
  <si>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</si>
  <si>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</si>
  <si>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</si>
  <si>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</si>
  <si>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</si>
  <si>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</si>
  <si>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</si>
  <si>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</si>
  <si>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</si>
  <si>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</si>
  <si>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</si>
  <si>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</si>
  <si>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</si>
  <si>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</si>
  <si>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</si>
  <si>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</si>
  <si>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</si>
  <si>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</si>
  <si>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</si>
  <si>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</si>
  <si>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</si>
  <si>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</si>
  <si>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</si>
  <si>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</si>
  <si>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</si>
  <si>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</si>
  <si>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</si>
  <si>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</si>
  <si>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</si>
  <si>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</si>
  <si>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</si>
  <si>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</si>
  <si>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</si>
  <si>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</si>
  <si>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</si>
  <si>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</si>
  <si>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</si>
  <si>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</si>
  <si>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</si>
  <si>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</si>
  <si>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</si>
  <si>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</si>
  <si>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</si>
  <si>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</si>
  <si>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</si>
  <si>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</si>
  <si>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</si>
  <si>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</si>
  <si>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</si>
  <si>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</si>
  <si>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</si>
  <si>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</si>
  <si>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</si>
  <si>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</si>
  <si>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</si>
  <si>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</si>
  <si>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</si>
  <si>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</si>
  <si>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</si>
  <si>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</si>
  <si>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</si>
  <si>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</si>
  <si>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</si>
  <si>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</si>
  <si>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</si>
  <si>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</si>
  <si>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</si>
  <si>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</si>
  <si>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</si>
  <si>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</si>
  <si>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</si>
  <si>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</si>
  <si>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</si>
  <si>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</si>
  <si>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</si>
  <si>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</si>
  <si>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</si>
  <si>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</si>
  <si>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</si>
  <si>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</si>
  <si>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</si>
  <si>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</si>
  <si>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</si>
  <si>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</si>
  <si>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</si>
  <si>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</si>
  <si>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</si>
  <si>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</si>
  <si>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</si>
  <si>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</si>
  <si>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</si>
  <si>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</si>
  <si>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</si>
  <si>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</si>
  <si>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</si>
  <si>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</si>
  <si>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</si>
  <si>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</si>
  <si>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</si>
  <si>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</si>
  <si>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</si>
  <si>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</si>
  <si>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</si>
  <si>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</si>
  <si>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</si>
  <si>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</si>
  <si>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</si>
  <si>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</si>
  <si>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</si>
  <si>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</si>
  <si>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</si>
  <si>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</si>
  <si>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</si>
  <si>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</si>
  <si>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</si>
  <si>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</si>
  <si>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</si>
  <si>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</si>
  <si>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</si>
  <si>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</si>
  <si>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</si>
  <si>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</si>
  <si>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</si>
  <si>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</si>
  <si>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</si>
  <si>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</si>
  <si>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</si>
  <si>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</si>
  <si>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</si>
  <si>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</si>
  <si>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</si>
  <si>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</si>
  <si>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</si>
  <si>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</si>
  <si>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</si>
  <si>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</si>
  <si>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</si>
  <si>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</si>
  <si>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</si>
  <si>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</si>
  <si>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</si>
  <si>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</si>
  <si>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</si>
  <si>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</si>
  <si>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</si>
  <si>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</si>
  <si>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</si>
  <si>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</si>
  <si>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</si>
  <si>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</si>
  <si>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</si>
  <si>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</si>
  <si>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</si>
  <si>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</si>
  <si>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</si>
  <si>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</si>
  <si>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</si>
  <si>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</si>
  <si>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</si>
  <si>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</si>
  <si>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</si>
  <si>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</si>
  <si>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</si>
  <si>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</si>
  <si>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</si>
  <si>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</si>
  <si>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</si>
  <si>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</si>
  <si>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</si>
  <si>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</si>
  <si>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</si>
  <si>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</si>
  <si>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</si>
  <si>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</si>
  <si>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</si>
  <si>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</si>
  <si>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</si>
  <si>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</si>
  <si>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</si>
  <si>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</si>
  <si>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</si>
  <si>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</si>
  <si>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</si>
  <si>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</si>
  <si>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</si>
  <si>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</si>
  <si>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</si>
  <si>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</si>
  <si>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</si>
  <si>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</si>
  <si>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</si>
  <si>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</si>
  <si>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</si>
  <si>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</si>
  <si>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</si>
  <si>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</si>
  <si>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</si>
  <si>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</si>
  <si>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</si>
  <si>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</si>
  <si>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</si>
  <si>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</si>
  <si>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</si>
  <si>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</si>
  <si>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</si>
  <si>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</si>
  <si>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</si>
  <si>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</si>
  <si>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</si>
  <si>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</si>
  <si>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</si>
  <si>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</si>
  <si>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</si>
  <si>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</si>
  <si>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</si>
  <si>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</si>
  <si>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</si>
  <si>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</si>
  <si>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</si>
  <si>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</si>
  <si>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</si>
  <si>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</si>
  <si>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</si>
  <si>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</si>
  <si>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</si>
  <si>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</si>
  <si>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</si>
  <si>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</si>
  <si>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</si>
  <si>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</si>
  <si>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</si>
  <si>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</si>
  <si>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</si>
  <si>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</si>
  <si>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</si>
  <si>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</si>
  <si>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</si>
  <si>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</si>
  <si>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</si>
  <si>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</si>
  <si>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</si>
  <si>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</si>
  <si>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</si>
  <si>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</si>
  <si>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</si>
  <si>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</si>
  <si>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</si>
  <si>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</si>
  <si>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</si>
  <si>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</si>
  <si>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</si>
  <si>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</si>
  <si>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</si>
  <si>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</si>
  <si>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</si>
  <si>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</si>
  <si>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</si>
  <si>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</si>
  <si>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</si>
  <si>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</si>
  <si>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</si>
  <si>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</si>
  <si>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</si>
  <si>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</si>
  <si>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</si>
  <si>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</si>
  <si>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</si>
  <si>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</si>
  <si>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</si>
  <si>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</si>
  <si>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</si>
  <si>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</si>
  <si>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</si>
  <si>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</si>
  <si>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</si>
  <si>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</si>
  <si>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</si>
  <si>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</si>
  <si>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</si>
  <si>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</si>
  <si>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</si>
  <si>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</si>
  <si>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</si>
  <si>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</si>
  <si>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</si>
  <si>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</si>
  <si>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</si>
  <si>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</si>
  <si>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</si>
  <si>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</si>
  <si>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</si>
  <si>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</si>
  <si>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</si>
  <si>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</si>
  <si>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</si>
  <si>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</si>
  <si>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</si>
  <si>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</si>
  <si>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</si>
  <si>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</si>
  <si>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</si>
  <si>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</si>
  <si>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</si>
  <si>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</si>
  <si>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</si>
  <si>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</si>
  <si>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</si>
  <si>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</si>
  <si>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</si>
  <si>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</si>
  <si>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</si>
  <si>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</si>
  <si>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</si>
  <si>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</si>
  <si>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</si>
  <si>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</si>
  <si>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</si>
  <si>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</si>
  <si>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</si>
  <si>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</si>
  <si>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</si>
  <si>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</si>
  <si>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</si>
  <si>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</si>
  <si>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</si>
  <si>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</si>
  <si>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</si>
  <si>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</si>
  <si>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REFT2</t>
  </si>
  <si>
    <t>NECOM</t>
  </si>
  <si>
    <t>ReferenceTsitica</t>
  </si>
  <si>
    <t>0RG_NZ10_8_GC</t>
  </si>
  <si>
    <t>0RG_9_GC</t>
  </si>
  <si>
    <t>0RG_8_GC</t>
  </si>
  <si>
    <t>NE_8GC</t>
  </si>
  <si>
    <t>NE_9GC</t>
  </si>
  <si>
    <t>ReferenceOld</t>
  </si>
  <si>
    <t>HighGrowth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</si>
</sst>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8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  <xf numFmtId="0" fontId="1" fillId="15" borderId="0" applyNumberFormat="0" applyBorder="0" applyAlignment="0" applyProtection="0"/>
  </cellStyleXfs>
  <cellXfs count="28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1" fillId="15" borderId="0" xfId="87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8">
    <cellStyle name="Advanced user input" xfId="66" xr:uid="{00000000-0005-0000-0000-000000000000}"/>
    <cellStyle name="Bad" xfId="87" builtinId="27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48.606880671294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Old"/>
        <s v="HighGrowth"/>
        <s v="Reference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6">
        <s v="NOPAMSREF"/>
        <s v="NOPAMSWE"/>
        <s v="CP20NEWH"/>
        <s v="NZ-20NE"/>
        <s v="NZ-20WE"/>
        <s v="NZ-10NE_9"/>
        <s v="NE_9GC"/>
        <s v="NZ-10NE_8"/>
        <s v="NE_8GC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2"/>
        <s v="REFP1"/>
        <m/>
        <s v="LPAMSFC" u="1"/>
        <s v="NZ-20NELD" u="1"/>
        <s v="CPAMSREPROGHG" u="1"/>
        <s v="NE_9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NZ-10NE_0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10NE_9GC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148.606884143519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Old"/>
        <s v="HighGrowth"/>
        <s v="Reference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1"/>
    <n v="1"/>
    <m/>
    <n v="1"/>
    <n v="1"/>
    <n v="-1"/>
    <n v="-1"/>
    <n v="-1"/>
    <n v="1"/>
    <n v="-1"/>
    <n v="7.000327102810413"/>
  </r>
  <r>
    <n v="0"/>
    <x v="8"/>
    <s v="CCDR9GtonJuly"/>
    <x v="0"/>
    <x v="6"/>
    <n v="0"/>
    <n v="1"/>
    <m/>
    <n v="0"/>
    <n v="0"/>
    <n v="-1"/>
    <n v="-1"/>
    <n v="-1"/>
    <n v="1"/>
    <n v="-1"/>
    <n v="7.000327102810413"/>
  </r>
  <r>
    <n v="0"/>
    <x v="9"/>
    <s v="CCDR8GtonJuly"/>
    <x v="0"/>
    <x v="7"/>
    <n v="1"/>
    <n v="1"/>
    <m/>
    <n v="1"/>
    <n v="1"/>
    <n v="-1"/>
    <n v="-1"/>
    <n v="-1"/>
    <n v="1"/>
    <n v="-1"/>
    <n v="6.000327102810413"/>
  </r>
  <r>
    <n v="0"/>
    <x v="10"/>
    <s v="CCDR8GtonJuly"/>
    <x v="0"/>
    <x v="8"/>
    <n v="0"/>
    <n v="0"/>
    <m/>
    <n v="1"/>
    <n v="1"/>
    <n v="-1"/>
    <n v="-1"/>
    <n v="-1"/>
    <n v="1"/>
    <n v="-1"/>
    <n v="6.000327102810413"/>
  </r>
  <r>
    <n v="0"/>
    <x v="11"/>
    <s v="CCDR9GtonPAMJuly"/>
    <x v="0"/>
    <x v="9"/>
    <n v="1"/>
    <n v="1"/>
    <m/>
    <n v="1"/>
    <n v="1"/>
    <n v="-1"/>
    <n v="1"/>
    <n v="1"/>
    <n v="1"/>
    <n v="-1"/>
    <n v="7.000327102810413"/>
  </r>
  <r>
    <n v="0"/>
    <x v="12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3"/>
    <s v="CCDR9GtonWEPAMJuly"/>
    <x v="0"/>
    <x v="11"/>
    <n v="1"/>
    <n v="1"/>
    <m/>
    <n v="1"/>
    <n v="1"/>
    <n v="-1"/>
    <n v="1"/>
    <n v="1"/>
    <n v="1"/>
    <n v="-1"/>
    <n v="7.000327102810413"/>
  </r>
  <r>
    <n v="0"/>
    <x v="14"/>
    <s v="CCDR8GtonWEPAMJuly"/>
    <x v="0"/>
    <x v="11"/>
    <n v="1"/>
    <n v="1"/>
    <m/>
    <n v="1"/>
    <n v="1"/>
    <n v="-1"/>
    <n v="1"/>
    <n v="1"/>
    <n v="1"/>
    <n v="-1"/>
    <n v="6.000327102810413"/>
  </r>
  <r>
    <n v="0"/>
    <x v="15"/>
    <m/>
    <x v="0"/>
    <x v="12"/>
    <n v="1"/>
    <n v="0"/>
    <m/>
    <n v="1"/>
    <n v="1"/>
    <n v="-1"/>
    <n v="-1"/>
    <n v="-1"/>
    <n v="1"/>
    <n v="-1"/>
    <n v="12"/>
  </r>
  <r>
    <n v="0"/>
    <x v="16"/>
    <m/>
    <x v="0"/>
    <x v="13"/>
    <n v="1"/>
    <n v="0"/>
    <m/>
    <n v="1"/>
    <n v="1"/>
    <n v="-1"/>
    <n v="-1"/>
    <n v="-1"/>
    <n v="1"/>
    <n v="-1"/>
    <n v="7.000327102810413"/>
  </r>
  <r>
    <n v="0"/>
    <x v="17"/>
    <m/>
    <x v="0"/>
    <x v="13"/>
    <n v="1"/>
    <n v="0"/>
    <m/>
    <n v="1"/>
    <n v="1"/>
    <n v="-1"/>
    <n v="-1"/>
    <n v="-1"/>
    <n v="1"/>
    <n v="-1"/>
    <n v="6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0"/>
    <n v="0"/>
    <m/>
    <n v="1"/>
    <n v="1"/>
    <n v="-1"/>
    <n v="-1"/>
    <n v="-1"/>
    <n v="1"/>
    <n v="-1"/>
    <n v="7.000327102810413"/>
  </r>
  <r>
    <n v="0"/>
    <x v="20"/>
    <m/>
    <x v="0"/>
    <x v="16"/>
    <n v="0"/>
    <n v="0"/>
    <m/>
    <n v="1"/>
    <n v="1"/>
    <n v="-1"/>
    <n v="-1"/>
    <n v="-1"/>
    <n v="1"/>
    <n v="-1"/>
    <n v="7.000327102810413"/>
  </r>
  <r>
    <n v="0"/>
    <x v="21"/>
    <m/>
    <x v="0"/>
    <x v="17"/>
    <n v="1"/>
    <n v="0"/>
    <m/>
    <n v="1"/>
    <n v="1"/>
    <n v="-1"/>
    <n v="-1"/>
    <n v="-1"/>
    <n v="1"/>
    <n v="-1"/>
    <n v="7.000327102810413"/>
  </r>
  <r>
    <n v="0"/>
    <x v="22"/>
    <m/>
    <x v="0"/>
    <x v="12"/>
    <n v="0"/>
    <n v="1"/>
    <m/>
    <n v="1"/>
    <n v="1"/>
    <n v="-1"/>
    <n v="-1"/>
    <n v="-1"/>
    <n v="1"/>
    <n v="-1"/>
    <n v="9.9"/>
  </r>
  <r>
    <n v="0"/>
    <x v="23"/>
    <m/>
    <x v="0"/>
    <x v="13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-1"/>
    <n v="-1"/>
    <n v="1"/>
    <n v="-1"/>
    <n v="9.9"/>
  </r>
  <r>
    <n v="0"/>
    <x v="32"/>
    <m/>
    <x v="0"/>
    <x v="26"/>
    <n v="1"/>
    <n v="0"/>
    <m/>
    <n v="1"/>
    <n v="1"/>
    <n v="-1"/>
    <n v="-1"/>
    <n v="-1"/>
    <n v="1"/>
    <n v="-1"/>
    <n v="9.9"/>
  </r>
  <r>
    <n v="0"/>
    <x v="33"/>
    <m/>
    <x v="0"/>
    <x v="27"/>
    <n v="1"/>
    <n v="0"/>
    <m/>
    <n v="1"/>
    <n v="1"/>
    <n v="-1"/>
    <n v="1"/>
    <n v="1"/>
    <n v="1"/>
    <n v="-1"/>
    <n v="9.9"/>
  </r>
  <r>
    <n v="0"/>
    <x v="34"/>
    <m/>
    <x v="0"/>
    <x v="13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4"/>
    <n v="1"/>
    <n v="0"/>
    <m/>
    <n v="1"/>
    <n v="1"/>
    <n v="-1"/>
    <n v="-1"/>
    <n v="-1"/>
    <n v="1"/>
    <n v="-1"/>
    <n v="5.8"/>
  </r>
  <r>
    <n v="0"/>
    <x v="37"/>
    <m/>
    <x v="0"/>
    <x v="25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-1"/>
    <n v="-1"/>
    <n v="1"/>
    <n v="-1"/>
    <n v="5.8"/>
  </r>
  <r>
    <n v="0"/>
    <x v="40"/>
    <m/>
    <x v="0"/>
    <x v="30"/>
    <n v="1"/>
    <n v="0"/>
    <m/>
    <n v="1"/>
    <n v="1"/>
    <n v="-1"/>
    <n v="-1"/>
    <n v="-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1"/>
    <n v="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1"/>
    <n v="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-1"/>
    <n v="-1"/>
    <n v="1"/>
    <n v="-1"/>
    <n v="5.8"/>
  </r>
  <r>
    <n v="0"/>
    <x v="48"/>
    <m/>
    <x v="0"/>
    <x v="38"/>
    <n v="1"/>
    <n v="0"/>
    <m/>
    <n v="1"/>
    <n v="1"/>
    <n v="-1"/>
    <n v="-1"/>
    <n v="-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40"/>
    <n v="1"/>
    <n v="0"/>
    <m/>
    <n v="1"/>
    <n v="1"/>
    <n v="-1"/>
    <n v="1"/>
    <n v="1"/>
    <n v="1"/>
    <n v="-1"/>
    <n v="5.8"/>
  </r>
  <r>
    <n v="0"/>
    <x v="51"/>
    <m/>
    <x v="0"/>
    <x v="41"/>
    <n v="1"/>
    <n v="0"/>
    <m/>
    <n v="1"/>
    <n v="1"/>
    <n v="-1"/>
    <n v="1"/>
    <n v="1"/>
    <n v="1"/>
    <n v="-1"/>
    <n v="5.8"/>
  </r>
  <r>
    <n v="0"/>
    <x v="52"/>
    <m/>
    <x v="0"/>
    <x v="13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4"/>
    <n v="1"/>
    <n v="0"/>
    <m/>
    <n v="1"/>
    <n v="1"/>
    <n v="-1"/>
    <n v="-1"/>
    <n v="-1"/>
    <n v="1"/>
    <n v="-1"/>
    <n v="6"/>
  </r>
  <r>
    <n v="0"/>
    <x v="55"/>
    <m/>
    <x v="0"/>
    <x v="25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-1"/>
    <n v="-1"/>
    <n v="1"/>
    <n v="-1"/>
    <n v="6"/>
  </r>
  <r>
    <n v="0"/>
    <x v="58"/>
    <m/>
    <x v="0"/>
    <x v="30"/>
    <n v="1"/>
    <n v="0"/>
    <m/>
    <n v="1"/>
    <n v="1"/>
    <n v="-1"/>
    <n v="-1"/>
    <n v="-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1"/>
    <n v="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1"/>
    <n v="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-1"/>
    <n v="-1"/>
    <n v="1"/>
    <n v="-1"/>
    <n v="6"/>
  </r>
  <r>
    <n v="0"/>
    <x v="66"/>
    <m/>
    <x v="0"/>
    <x v="38"/>
    <n v="1"/>
    <n v="0"/>
    <m/>
    <n v="1"/>
    <n v="1"/>
    <n v="-1"/>
    <n v="-1"/>
    <n v="-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40"/>
    <n v="1"/>
    <n v="0"/>
    <m/>
    <n v="1"/>
    <n v="1"/>
    <n v="-1"/>
    <n v="1"/>
    <n v="1"/>
    <n v="1"/>
    <n v="-1"/>
    <n v="6"/>
  </r>
  <r>
    <n v="0"/>
    <x v="69"/>
    <m/>
    <x v="0"/>
    <x v="41"/>
    <n v="1"/>
    <n v="0"/>
    <m/>
    <n v="1"/>
    <n v="1"/>
    <n v="-1"/>
    <n v="1"/>
    <n v="1"/>
    <n v="1"/>
    <n v="-1"/>
    <n v="6"/>
  </r>
  <r>
    <n v="0"/>
    <x v="70"/>
    <m/>
    <x v="0"/>
    <x v="13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4"/>
    <n v="1"/>
    <n v="0"/>
    <m/>
    <n v="1"/>
    <n v="1"/>
    <n v="-1"/>
    <n v="-1"/>
    <n v="-1"/>
    <n v="1"/>
    <n v="-1"/>
    <n v="6.5"/>
  </r>
  <r>
    <n v="0"/>
    <x v="73"/>
    <m/>
    <x v="0"/>
    <x v="25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-1"/>
    <n v="-1"/>
    <n v="1"/>
    <n v="-1"/>
    <n v="6.5"/>
  </r>
  <r>
    <n v="0"/>
    <x v="76"/>
    <m/>
    <x v="0"/>
    <x v="30"/>
    <n v="1"/>
    <n v="0"/>
    <m/>
    <n v="1"/>
    <n v="1"/>
    <n v="-1"/>
    <n v="-1"/>
    <n v="-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1"/>
    <n v="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1"/>
    <n v="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-1"/>
    <n v="-1"/>
    <n v="1"/>
    <n v="-1"/>
    <n v="6.5"/>
  </r>
  <r>
    <n v="0"/>
    <x v="84"/>
    <m/>
    <x v="0"/>
    <x v="38"/>
    <n v="1"/>
    <n v="0"/>
    <m/>
    <n v="1"/>
    <n v="1"/>
    <n v="-1"/>
    <n v="-1"/>
    <n v="-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n v="0"/>
    <x v="86"/>
    <m/>
    <x v="0"/>
    <x v="40"/>
    <n v="1"/>
    <n v="0"/>
    <m/>
    <n v="1"/>
    <n v="1"/>
    <n v="-1"/>
    <n v="1"/>
    <n v="1"/>
    <n v="1"/>
    <n v="-1"/>
    <n v="6.5"/>
  </r>
  <r>
    <n v="0"/>
    <x v="87"/>
    <m/>
    <x v="0"/>
    <x v="41"/>
    <n v="1"/>
    <n v="0"/>
    <m/>
    <n v="1"/>
    <n v="1"/>
    <n v="-1"/>
    <n v="1"/>
    <n v="1"/>
    <n v="1"/>
    <n v="-1"/>
    <n v="6.5"/>
  </r>
  <r>
    <n v="0"/>
    <x v="88"/>
    <m/>
    <x v="0"/>
    <x v="12"/>
    <n v="1"/>
    <n v="0"/>
    <m/>
    <n v="1"/>
    <n v="1"/>
    <n v="-1"/>
    <n v="-1"/>
    <n v="-1"/>
    <n v="1"/>
    <n v="-1"/>
    <n v="12"/>
  </r>
  <r>
    <n v="1"/>
    <x v="89"/>
    <m/>
    <x v="0"/>
    <x v="42"/>
    <n v="1"/>
    <n v="0"/>
    <m/>
    <n v="1"/>
    <n v="1"/>
    <n v="-1"/>
    <n v="-1"/>
    <n v="-1"/>
    <n v="1"/>
    <n v="-1"/>
    <n v="12"/>
  </r>
  <r>
    <n v="1"/>
    <x v="90"/>
    <m/>
    <x v="0"/>
    <x v="42"/>
    <n v="1"/>
    <n v="0"/>
    <m/>
    <n v="1"/>
    <n v="1"/>
    <n v="-1"/>
    <n v="-1"/>
    <n v="-1"/>
    <n v="1"/>
    <n v="-1"/>
    <n v="12"/>
  </r>
  <r>
    <n v="0"/>
    <x v="91"/>
    <m/>
    <x v="0"/>
    <x v="5"/>
    <n v="1"/>
    <n v="0"/>
    <m/>
    <n v="1"/>
    <n v="1"/>
    <n v="-1"/>
    <n v="-1"/>
    <n v="-1"/>
    <n v="1"/>
    <n v="-1"/>
    <n v="7.000327102810413"/>
  </r>
  <r>
    <n v="0"/>
    <x v="92"/>
    <m/>
    <x v="0"/>
    <x v="43"/>
    <n v="1"/>
    <n v="0"/>
    <m/>
    <n v="1"/>
    <n v="1"/>
    <n v="-1"/>
    <n v="1"/>
    <n v="1"/>
    <n v="1"/>
    <n v="-1"/>
    <n v="12"/>
  </r>
  <r>
    <m/>
    <x v="93"/>
    <m/>
    <x v="1"/>
    <x v="44"/>
    <m/>
    <m/>
    <m/>
    <m/>
    <m/>
    <m/>
    <m/>
    <m/>
    <m/>
    <m/>
    <m/>
  </r>
  <r>
    <m/>
    <x v="93"/>
    <m/>
    <x v="1"/>
    <x v="4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1"/>
    <n v="1"/>
    <m/>
    <n v="1"/>
    <n v="1"/>
    <n v="-1"/>
    <n v="-1"/>
    <n v="-1"/>
    <n v="1"/>
    <n v="-1"/>
    <n v="7.000327102810413"/>
  </r>
  <r>
    <n v="0"/>
    <x v="8"/>
    <s v="CCDR9GtonJuly"/>
    <s v="base"/>
    <s v="NE_9GC"/>
    <n v="0"/>
    <n v="1"/>
    <m/>
    <n v="0"/>
    <n v="0"/>
    <n v="-1"/>
    <n v="-1"/>
    <n v="-1"/>
    <n v="1"/>
    <n v="-1"/>
    <n v="7.000327102810413"/>
  </r>
  <r>
    <n v="0"/>
    <x v="9"/>
    <s v="CCDR8GtonJuly"/>
    <s v="base"/>
    <s v="NZ-10NE_8"/>
    <n v="1"/>
    <n v="1"/>
    <m/>
    <n v="1"/>
    <n v="1"/>
    <n v="-1"/>
    <n v="-1"/>
    <n v="-1"/>
    <n v="1"/>
    <n v="-1"/>
    <n v="6.000327102810413"/>
  </r>
  <r>
    <n v="0"/>
    <x v="10"/>
    <s v="CCDR8GtonJuly"/>
    <s v="base"/>
    <s v="NE_8GC"/>
    <n v="0"/>
    <n v="0"/>
    <m/>
    <n v="1"/>
    <n v="1"/>
    <n v="-1"/>
    <n v="-1"/>
    <n v="-1"/>
    <n v="1"/>
    <n v="-1"/>
    <n v="6.000327102810413"/>
  </r>
  <r>
    <n v="0"/>
    <x v="11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2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3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4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5"/>
    <m/>
    <s v="base"/>
    <s v="REF"/>
    <n v="1"/>
    <n v="0"/>
    <m/>
    <n v="1"/>
    <n v="1"/>
    <n v="-1"/>
    <n v="-1"/>
    <n v="-1"/>
    <n v="1"/>
    <n v="-1"/>
    <n v="12"/>
  </r>
  <r>
    <n v="0"/>
    <x v="16"/>
    <m/>
    <s v="base"/>
    <s v="NZ"/>
    <n v="1"/>
    <n v="0"/>
    <m/>
    <n v="1"/>
    <n v="1"/>
    <n v="-1"/>
    <n v="-1"/>
    <n v="-1"/>
    <n v="1"/>
    <n v="-1"/>
    <n v="7.000327102810413"/>
  </r>
  <r>
    <n v="0"/>
    <x v="17"/>
    <m/>
    <s v="base"/>
    <s v="NZ"/>
    <n v="1"/>
    <n v="0"/>
    <m/>
    <n v="1"/>
    <n v="1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1"/>
    <x v="89"/>
    <m/>
    <s v="base"/>
    <s v="REFT2"/>
    <n v="1"/>
    <n v="0"/>
    <m/>
    <n v="1"/>
    <n v="1"/>
    <n v="-1"/>
    <n v="-1"/>
    <n v="-1"/>
    <n v="1"/>
    <n v="-1"/>
    <n v="12"/>
  </r>
  <r>
    <n v="1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m="1" x="134"/>
        <item m="1" x="107"/>
        <item m="1" x="99"/>
        <item x="44"/>
        <item m="1" x="106"/>
        <item m="1" x="63"/>
        <item m="1" x="122"/>
        <item m="1" x="140"/>
        <item m="1" x="102"/>
        <item m="1" x="108"/>
        <item m="1" x="103"/>
        <item m="1" x="85"/>
        <item m="1" x="47"/>
        <item m="1" x="120"/>
        <item m="1" x="45"/>
        <item m="1" x="176"/>
        <item m="1" x="77"/>
        <item m="1" x="159"/>
        <item m="1" x="170"/>
        <item m="1" x="86"/>
        <item m="1" x="79"/>
        <item m="1" x="164"/>
        <item m="1" x="127"/>
        <item m="1" x="129"/>
        <item m="1" x="161"/>
        <item m="1" x="94"/>
        <item m="1" x="156"/>
        <item m="1" x="55"/>
        <item m="1" x="69"/>
        <item m="1" x="192"/>
        <item m="1" x="136"/>
        <item m="1" x="171"/>
        <item m="1" x="111"/>
        <item m="1" x="173"/>
        <item m="1" x="182"/>
        <item m="1" x="117"/>
        <item m="1" x="138"/>
        <item m="1" x="133"/>
        <item m="1" x="169"/>
        <item m="1" x="167"/>
        <item m="1" x="74"/>
        <item m="1" x="185"/>
        <item m="1" x="131"/>
        <item m="1" x="152"/>
        <item m="1" x="166"/>
        <item m="1" x="188"/>
        <item m="1" x="195"/>
        <item m="1" x="113"/>
        <item m="1" x="101"/>
        <item m="1" x="100"/>
        <item m="1" x="141"/>
        <item m="1" x="105"/>
        <item m="1" x="149"/>
        <item m="1" x="66"/>
        <item m="1" x="119"/>
        <item m="1" x="147"/>
        <item m="1" x="168"/>
        <item m="1" x="116"/>
        <item m="1" x="109"/>
        <item m="1" x="60"/>
        <item m="1" x="175"/>
        <item m="1" x="76"/>
        <item m="1" x="90"/>
        <item m="1" x="124"/>
        <item m="1" x="135"/>
        <item m="1" x="91"/>
        <item m="1" x="53"/>
        <item m="1" x="130"/>
        <item m="1" x="139"/>
        <item m="1" x="81"/>
        <item m="1" x="158"/>
        <item m="1" x="172"/>
        <item m="1" x="121"/>
        <item m="1" x="84"/>
        <item m="1" x="92"/>
        <item m="1" x="75"/>
        <item m="1" x="143"/>
        <item m="1" x="50"/>
        <item m="1" x="151"/>
        <item m="1" x="165"/>
        <item m="1" x="183"/>
        <item m="1" x="162"/>
        <item m="1" x="178"/>
        <item m="1" x="193"/>
        <item m="1" x="93"/>
        <item m="1" x="157"/>
        <item m="1" x="190"/>
        <item m="1" x="61"/>
        <item m="1" x="71"/>
        <item m="1" x="97"/>
        <item m="1" x="132"/>
        <item m="1" x="56"/>
        <item m="1" x="59"/>
        <item x="0"/>
        <item m="1" x="49"/>
        <item m="1" x="177"/>
        <item m="1" x="104"/>
        <item m="1" x="174"/>
        <item m="1" x="72"/>
        <item m="1" x="179"/>
        <item m="1" x="146"/>
        <item m="1" x="123"/>
        <item m="1" x="83"/>
        <item m="1" x="145"/>
        <item m="1" x="46"/>
        <item m="1" x="163"/>
        <item x="4"/>
        <item x="3"/>
        <item m="1" x="144"/>
        <item m="1" x="52"/>
        <item m="1" x="68"/>
        <item m="1" x="112"/>
        <item m="1" x="87"/>
        <item m="1" x="78"/>
        <item m="1" x="70"/>
        <item m="1" x="189"/>
        <item m="1" x="194"/>
        <item m="1" x="184"/>
        <item x="1"/>
        <item m="1" x="114"/>
        <item m="1" x="62"/>
        <item m="1" x="54"/>
        <item m="1" x="126"/>
        <item m="1" x="186"/>
        <item m="1" x="98"/>
        <item m="1" x="160"/>
        <item m="1" x="155"/>
        <item m="1" x="154"/>
        <item m="1" x="58"/>
        <item m="1" x="142"/>
        <item x="2"/>
        <item m="1" x="125"/>
        <item m="1" x="67"/>
        <item x="11"/>
        <item x="13"/>
        <item m="1" x="181"/>
        <item m="1" x="96"/>
        <item m="1" x="65"/>
        <item m="1" x="80"/>
        <item x="16"/>
        <item m="1" x="73"/>
        <item m="1" x="180"/>
        <item m="1" x="51"/>
        <item m="1" x="187"/>
        <item m="1" x="110"/>
        <item m="1" x="150"/>
        <item m="1" x="88"/>
        <item m="1" x="82"/>
        <item m="1" x="89"/>
        <item m="1" x="64"/>
        <item m="1" x="191"/>
        <item x="9"/>
        <item x="10"/>
        <item m="1" x="57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3"/>
        <item m="1" x="115"/>
        <item x="42"/>
        <item m="1" x="95"/>
        <item m="1" x="148"/>
        <item m="1" x="48"/>
        <item m="1" x="128"/>
        <item m="1" x="153"/>
        <item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33"/>
    </i>
    <i>
      <x v="12"/>
      <x v="151"/>
    </i>
    <i>
      <x v="13"/>
      <x v="152"/>
    </i>
    <i>
      <x v="14"/>
      <x v="134"/>
    </i>
    <i>
      <x v="15"/>
      <x v="158"/>
    </i>
    <i>
      <x v="16"/>
      <x v="159"/>
    </i>
    <i>
      <x v="17"/>
      <x v="160"/>
    </i>
    <i>
      <x v="18"/>
      <x v="161"/>
    </i>
    <i>
      <x v="19"/>
      <x v="162"/>
    </i>
    <i>
      <x v="20"/>
      <x v="163"/>
    </i>
    <i>
      <x v="21"/>
      <x v="164"/>
    </i>
    <i>
      <x v="22"/>
      <x v="165"/>
    </i>
    <i>
      <x v="23"/>
      <x v="166"/>
    </i>
    <i>
      <x v="24"/>
      <x v="167"/>
    </i>
    <i>
      <x v="25"/>
      <x v="134"/>
    </i>
    <i>
      <x v="26"/>
      <x v="163"/>
    </i>
    <i>
      <x v="27"/>
      <x v="164"/>
    </i>
    <i>
      <x v="28"/>
      <x v="165"/>
    </i>
    <i>
      <x v="29"/>
      <x v="168"/>
    </i>
    <i>
      <x v="30"/>
      <x v="169"/>
    </i>
    <i>
      <x v="31"/>
      <x v="170"/>
    </i>
    <i>
      <x v="32"/>
      <x v="171"/>
    </i>
    <i>
      <x v="33"/>
      <x v="172"/>
    </i>
    <i>
      <x v="34"/>
      <x v="173"/>
    </i>
    <i>
      <x v="35"/>
      <x v="174"/>
    </i>
    <i>
      <x v="36"/>
      <x v="175"/>
    </i>
    <i>
      <x v="37"/>
      <x v="176"/>
    </i>
    <i>
      <x v="38"/>
      <x v="177"/>
    </i>
    <i>
      <x v="39"/>
      <x v="178"/>
    </i>
    <i>
      <x v="40"/>
      <x v="179"/>
    </i>
    <i>
      <x v="41"/>
      <x v="180"/>
    </i>
    <i>
      <x v="42"/>
      <x v="181"/>
    </i>
    <i>
      <x v="43"/>
      <x v="134"/>
    </i>
    <i>
      <x v="44"/>
      <x v="163"/>
    </i>
    <i>
      <x v="45"/>
      <x v="164"/>
    </i>
    <i>
      <x v="46"/>
      <x v="165"/>
    </i>
    <i>
      <x v="47"/>
      <x v="168"/>
    </i>
    <i>
      <x v="48"/>
      <x v="169"/>
    </i>
    <i>
      <x v="49"/>
      <x v="170"/>
    </i>
    <i>
      <x v="50"/>
      <x v="171"/>
    </i>
    <i>
      <x v="51"/>
      <x v="172"/>
    </i>
    <i>
      <x v="52"/>
      <x v="173"/>
    </i>
    <i>
      <x v="53"/>
      <x v="174"/>
    </i>
    <i>
      <x v="54"/>
      <x v="175"/>
    </i>
    <i>
      <x v="55"/>
      <x v="176"/>
    </i>
    <i>
      <x v="56"/>
      <x v="177"/>
    </i>
    <i>
      <x v="57"/>
      <x v="178"/>
    </i>
    <i>
      <x v="58"/>
      <x v="179"/>
    </i>
    <i>
      <x v="59"/>
      <x v="180"/>
    </i>
    <i>
      <x v="60"/>
      <x v="181"/>
    </i>
    <i>
      <x v="61"/>
      <x v="134"/>
    </i>
    <i>
      <x v="62"/>
      <x v="163"/>
    </i>
    <i>
      <x v="63"/>
      <x v="164"/>
    </i>
    <i>
      <x v="64"/>
      <x v="165"/>
    </i>
    <i>
      <x v="65"/>
      <x v="168"/>
    </i>
    <i>
      <x v="66"/>
      <x v="169"/>
    </i>
    <i>
      <x v="67"/>
      <x v="170"/>
    </i>
    <i>
      <x v="68"/>
      <x v="171"/>
    </i>
    <i>
      <x v="69"/>
      <x v="172"/>
    </i>
    <i>
      <x v="70"/>
      <x v="173"/>
    </i>
    <i>
      <x v="71"/>
      <x v="174"/>
    </i>
    <i>
      <x v="72"/>
      <x v="175"/>
    </i>
    <i>
      <x v="73"/>
      <x v="176"/>
    </i>
    <i>
      <x v="74"/>
      <x v="177"/>
    </i>
    <i>
      <x v="75"/>
      <x v="178"/>
    </i>
    <i>
      <x v="76"/>
      <x v="179"/>
    </i>
    <i>
      <x v="77"/>
      <x v="180"/>
    </i>
    <i>
      <x v="78"/>
      <x v="181"/>
    </i>
    <i>
      <x v="79"/>
      <x v="182"/>
    </i>
    <i>
      <x v="80"/>
      <x v="188"/>
    </i>
    <i>
      <x v="81"/>
      <x v="134"/>
    </i>
    <i>
      <x v="82"/>
      <x v="134"/>
    </i>
    <i>
      <x v="83"/>
      <x v="183"/>
    </i>
    <i>
      <x v="84"/>
      <x v="184"/>
    </i>
    <i>
      <x v="85"/>
      <x v="139"/>
    </i>
    <i>
      <x v="86"/>
      <x v="185"/>
    </i>
    <i>
      <x v="87"/>
      <x v="186"/>
    </i>
    <i>
      <x v="88"/>
      <x v="154"/>
    </i>
    <i>
      <x v="89"/>
      <x v="182"/>
    </i>
    <i>
      <x v="90"/>
      <x v="155"/>
    </i>
    <i>
      <x v="91"/>
      <x v="195"/>
    </i>
    <i>
      <x v="92"/>
      <x v="194"/>
    </i>
    <i>
      <x v="93"/>
      <x v="182"/>
    </i>
    <i>
      <x v="94"/>
      <x v="18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997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4"/>
        <item x="3"/>
        <item x="0"/>
        <item x="1"/>
        <item x="13"/>
        <item x="7"/>
        <item x="14"/>
        <item x="5"/>
        <item x="6"/>
        <item x="2"/>
        <item x="93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1" firstHeaderRow="1" firstDataRow="1" firstDataCol="1"/>
  <pivotFields count="16">
    <pivotField showAll="0"/>
    <pivotField showAll="0"/>
    <pivotField showAll="0"/>
    <pivotField showAll="0"/>
    <pivotField axis="axisRow" showAll="0">
      <items count="197">
        <item m="1" x="134"/>
        <item m="1" x="107"/>
        <item m="1" x="99"/>
        <item x="44"/>
        <item m="1" x="106"/>
        <item m="1" x="63"/>
        <item m="1" x="122"/>
        <item m="1" x="140"/>
        <item m="1" x="102"/>
        <item m="1" x="108"/>
        <item m="1" x="103"/>
        <item m="1" x="85"/>
        <item m="1" x="47"/>
        <item m="1" x="120"/>
        <item m="1" x="45"/>
        <item m="1" x="176"/>
        <item m="1" x="77"/>
        <item m="1" x="159"/>
        <item m="1" x="170"/>
        <item m="1" x="86"/>
        <item m="1" x="79"/>
        <item m="1" x="164"/>
        <item m="1" x="127"/>
        <item m="1" x="129"/>
        <item m="1" x="161"/>
        <item m="1" x="94"/>
        <item m="1" x="156"/>
        <item m="1" x="55"/>
        <item m="1" x="69"/>
        <item m="1" x="192"/>
        <item m="1" x="136"/>
        <item m="1" x="171"/>
        <item m="1" x="111"/>
        <item m="1" x="173"/>
        <item m="1" x="182"/>
        <item m="1" x="117"/>
        <item m="1" x="138"/>
        <item m="1" x="133"/>
        <item m="1" x="169"/>
        <item m="1" x="167"/>
        <item m="1" x="74"/>
        <item m="1" x="185"/>
        <item m="1" x="131"/>
        <item m="1" x="152"/>
        <item m="1" x="166"/>
        <item m="1" x="188"/>
        <item m="1" x="195"/>
        <item m="1" x="113"/>
        <item m="1" x="101"/>
        <item m="1" x="100"/>
        <item m="1" x="141"/>
        <item m="1" x="105"/>
        <item m="1" x="149"/>
        <item m="1" x="66"/>
        <item m="1" x="119"/>
        <item m="1" x="147"/>
        <item m="1" x="168"/>
        <item m="1" x="116"/>
        <item m="1" x="109"/>
        <item m="1" x="60"/>
        <item m="1" x="175"/>
        <item m="1" x="76"/>
        <item m="1" x="90"/>
        <item m="1" x="124"/>
        <item m="1" x="135"/>
        <item m="1" x="91"/>
        <item m="1" x="53"/>
        <item m="1" x="130"/>
        <item m="1" x="139"/>
        <item m="1" x="81"/>
        <item m="1" x="158"/>
        <item m="1" x="172"/>
        <item m="1" x="121"/>
        <item m="1" x="84"/>
        <item m="1" x="92"/>
        <item m="1" x="75"/>
        <item m="1" x="143"/>
        <item m="1" x="50"/>
        <item m="1" x="151"/>
        <item m="1" x="165"/>
        <item m="1" x="183"/>
        <item m="1" x="162"/>
        <item m="1" x="178"/>
        <item m="1" x="193"/>
        <item m="1" x="93"/>
        <item m="1" x="157"/>
        <item m="1" x="190"/>
        <item m="1" x="61"/>
        <item m="1" x="71"/>
        <item m="1" x="97"/>
        <item m="1" x="132"/>
        <item m="1" x="56"/>
        <item m="1" x="59"/>
        <item x="0"/>
        <item m="1" x="49"/>
        <item m="1" x="177"/>
        <item m="1" x="104"/>
        <item m="1" x="174"/>
        <item m="1" x="72"/>
        <item m="1" x="179"/>
        <item m="1" x="146"/>
        <item m="1" x="123"/>
        <item m="1" x="83"/>
        <item m="1" x="145"/>
        <item m="1" x="46"/>
        <item m="1" x="163"/>
        <item x="4"/>
        <item x="3"/>
        <item m="1" x="144"/>
        <item m="1" x="52"/>
        <item m="1" x="68"/>
        <item m="1" x="112"/>
        <item m="1" x="87"/>
        <item m="1" x="78"/>
        <item m="1" x="70"/>
        <item m="1" x="189"/>
        <item m="1" x="194"/>
        <item m="1" x="184"/>
        <item x="1"/>
        <item m="1" x="114"/>
        <item m="1" x="62"/>
        <item m="1" x="54"/>
        <item m="1" x="126"/>
        <item m="1" x="186"/>
        <item m="1" x="98"/>
        <item m="1" x="160"/>
        <item m="1" x="155"/>
        <item m="1" x="154"/>
        <item m="1" x="58"/>
        <item m="1" x="142"/>
        <item x="2"/>
        <item m="1" x="125"/>
        <item m="1" x="67"/>
        <item x="11"/>
        <item x="13"/>
        <item m="1" x="181"/>
        <item m="1" x="96"/>
        <item m="1" x="65"/>
        <item m="1" x="80"/>
        <item x="16"/>
        <item m="1" x="73"/>
        <item m="1" x="180"/>
        <item m="1" x="51"/>
        <item m="1" x="187"/>
        <item m="1" x="110"/>
        <item m="1" x="150"/>
        <item m="1" x="88"/>
        <item m="1" x="82"/>
        <item m="1" x="89"/>
        <item m="1" x="64"/>
        <item m="1" x="191"/>
        <item x="9"/>
        <item x="10"/>
        <item m="1" x="57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3"/>
        <item m="1" x="115"/>
        <item x="42"/>
        <item m="1" x="95"/>
        <item m="1" x="148"/>
        <item m="1" x="48"/>
        <item m="1" x="128"/>
        <item m="1" x="153"/>
        <item x="8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5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8"/>
    </i>
    <i>
      <x v="194"/>
    </i>
    <i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997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99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90"/>
        <item x="16"/>
        <item x="17"/>
        <item x="18"/>
        <item x="19"/>
        <item x="20"/>
        <item x="21"/>
        <item x="92"/>
        <item x="91"/>
        <item x="15"/>
        <item x="9"/>
        <item x="8"/>
        <item x="10"/>
        <item x="88"/>
        <item x="8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98C7D9E0-C6BE-4384-B3AA-9CA99F4E582B}">
    <text>Note that there is still a problem running with other cases here - still looking into it.</text>
  </threadedComment>
  <threadedComment ref="D24" dT="2020-08-07T12:32:29.60" personId="{8A307EF1-062C-4DD1-801F-D45833AE4B68}" id="{09AECD53-5E0F-4AAD-86D9-0A176D1BEB4C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workbookViewId="0">
      <selection activeCell="H87" sqref="H87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7">
        <v>0</v>
      </c>
      <c r="G7" s="9" t="s">
        <v>193</v>
      </c>
      <c r="H7" s="27"/>
      <c r="I7" s="9" t="s">
        <v>193</v>
      </c>
      <c r="J7" s="27"/>
      <c r="K7" s="9" t="s">
        <v>193</v>
      </c>
      <c r="L7" s="27"/>
      <c r="M7" s="9" t="s">
        <v>193</v>
      </c>
      <c r="N7" s="27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7"/>
      <c r="U7" s="27"/>
      <c r="V7" s="27"/>
      <c r="W7" s="27"/>
      <c r="X7" s="27"/>
      <c r="AA7" s="9" t="s">
        <v>193</v>
      </c>
      <c r="AB7" s="27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7">
        <v>0</v>
      </c>
      <c r="G8" s="9" t="s">
        <v>211</v>
      </c>
      <c r="H8" s="27">
        <v>1</v>
      </c>
      <c r="I8" s="9" t="s">
        <v>211</v>
      </c>
      <c r="J8" s="27">
        <v>1</v>
      </c>
      <c r="K8" s="9" t="s">
        <v>211</v>
      </c>
      <c r="L8" s="27">
        <v>1</v>
      </c>
      <c r="M8" s="9" t="s">
        <v>211</v>
      </c>
      <c r="N8" s="27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7">
        <v>-1</v>
      </c>
      <c r="U8" s="27">
        <v>-1</v>
      </c>
      <c r="V8" s="27">
        <v>-1</v>
      </c>
      <c r="W8" s="27">
        <v>1</v>
      </c>
      <c r="X8" s="27">
        <v>4</v>
      </c>
      <c r="AA8" s="9" t="s">
        <v>211</v>
      </c>
      <c r="AB8" s="27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7">
        <v>0</v>
      </c>
      <c r="G9" s="9" t="s">
        <v>214</v>
      </c>
      <c r="H9" s="27">
        <v>0</v>
      </c>
      <c r="I9" s="9" t="s">
        <v>214</v>
      </c>
      <c r="J9" s="27">
        <v>1</v>
      </c>
      <c r="K9" s="9" t="s">
        <v>214</v>
      </c>
      <c r="L9" s="27">
        <v>0</v>
      </c>
      <c r="M9" s="9" t="s">
        <v>214</v>
      </c>
      <c r="N9" s="27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7">
        <v>-1</v>
      </c>
      <c r="U9" s="27">
        <v>-1</v>
      </c>
      <c r="V9" s="27">
        <v>-1</v>
      </c>
      <c r="W9" s="27">
        <v>1</v>
      </c>
      <c r="X9" s="27">
        <v>-1</v>
      </c>
      <c r="AA9" s="9" t="s">
        <v>214</v>
      </c>
      <c r="AB9" s="27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7">
        <v>0</v>
      </c>
      <c r="G10" s="9" t="s">
        <v>220</v>
      </c>
      <c r="H10" s="27">
        <v>1</v>
      </c>
      <c r="I10" s="9" t="s">
        <v>220</v>
      </c>
      <c r="J10" s="27">
        <v>1</v>
      </c>
      <c r="K10" s="9" t="s">
        <v>220</v>
      </c>
      <c r="L10" s="27">
        <v>1</v>
      </c>
      <c r="M10" s="9" t="s">
        <v>220</v>
      </c>
      <c r="N10" s="27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7">
        <v>-1</v>
      </c>
      <c r="U10" s="27">
        <v>-1</v>
      </c>
      <c r="V10" s="27">
        <v>-1</v>
      </c>
      <c r="W10" s="27">
        <v>1</v>
      </c>
      <c r="X10" s="27">
        <v>4</v>
      </c>
      <c r="AA10" s="9" t="s">
        <v>220</v>
      </c>
      <c r="AB10" s="27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 s="27">
        <v>0</v>
      </c>
      <c r="G11" s="9" t="s">
        <v>221</v>
      </c>
      <c r="H11" s="27">
        <v>0</v>
      </c>
      <c r="I11" s="9" t="s">
        <v>221</v>
      </c>
      <c r="J11" s="27">
        <v>1</v>
      </c>
      <c r="K11" s="9" t="s">
        <v>221</v>
      </c>
      <c r="L11" s="27">
        <v>0</v>
      </c>
      <c r="M11" s="9" t="s">
        <v>221</v>
      </c>
      <c r="N11" s="27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7">
        <v>-1</v>
      </c>
      <c r="U11" s="27">
        <v>-1</v>
      </c>
      <c r="V11" s="27">
        <v>-1</v>
      </c>
      <c r="W11" s="27">
        <v>1</v>
      </c>
      <c r="X11" s="27">
        <v>4</v>
      </c>
      <c r="AA11" s="9" t="s">
        <v>221</v>
      </c>
      <c r="AB11" s="27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 s="27">
        <v>0</v>
      </c>
      <c r="G12" s="9" t="s">
        <v>224</v>
      </c>
      <c r="H12" s="27">
        <v>1</v>
      </c>
      <c r="I12" s="9" t="s">
        <v>224</v>
      </c>
      <c r="J12" s="27">
        <v>1</v>
      </c>
      <c r="K12" s="9" t="s">
        <v>224</v>
      </c>
      <c r="L12" s="27">
        <v>1</v>
      </c>
      <c r="M12" s="9" t="s">
        <v>224</v>
      </c>
      <c r="N12" s="27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7">
        <v>-1</v>
      </c>
      <c r="U12" s="27">
        <v>-1</v>
      </c>
      <c r="V12" s="27">
        <v>-1</v>
      </c>
      <c r="W12" s="27">
        <v>1</v>
      </c>
      <c r="X12" s="27">
        <v>4</v>
      </c>
      <c r="AA12" s="9" t="s">
        <v>224</v>
      </c>
      <c r="AB12" s="27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232</v>
      </c>
      <c r="B13" s="9" t="s">
        <v>231</v>
      </c>
      <c r="C13" s="9" t="s">
        <v>49</v>
      </c>
      <c r="D13" s="9"/>
      <c r="E13" s="9" t="s">
        <v>225</v>
      </c>
      <c r="F13" s="27">
        <v>0</v>
      </c>
      <c r="G13" s="9" t="s">
        <v>225</v>
      </c>
      <c r="H13" s="27">
        <v>1</v>
      </c>
      <c r="I13" s="9" t="s">
        <v>225</v>
      </c>
      <c r="J13" s="27">
        <v>1</v>
      </c>
      <c r="K13" s="9" t="s">
        <v>225</v>
      </c>
      <c r="L13" s="27">
        <v>1</v>
      </c>
      <c r="M13" s="9" t="s">
        <v>225</v>
      </c>
      <c r="N13" s="27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7">
        <v>-1</v>
      </c>
      <c r="U13" s="27">
        <v>-1</v>
      </c>
      <c r="V13" s="27">
        <v>-1</v>
      </c>
      <c r="W13" s="27">
        <v>1</v>
      </c>
      <c r="X13" s="27">
        <v>4</v>
      </c>
      <c r="AA13" s="9" t="s">
        <v>225</v>
      </c>
      <c r="AB13" s="27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211</v>
      </c>
      <c r="B14" s="9" t="s">
        <v>233</v>
      </c>
      <c r="C14" s="9" t="s">
        <v>50</v>
      </c>
      <c r="D14" s="9"/>
      <c r="E14" s="9" t="s">
        <v>226</v>
      </c>
      <c r="F14" s="27">
        <v>0</v>
      </c>
      <c r="G14" s="9" t="s">
        <v>226</v>
      </c>
      <c r="H14" s="27">
        <v>0</v>
      </c>
      <c r="I14" s="9" t="s">
        <v>226</v>
      </c>
      <c r="J14" s="27">
        <v>1</v>
      </c>
      <c r="K14" s="9" t="s">
        <v>226</v>
      </c>
      <c r="L14" s="27">
        <v>0</v>
      </c>
      <c r="M14" s="9" t="s">
        <v>226</v>
      </c>
      <c r="N14" s="27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7">
        <v>-1</v>
      </c>
      <c r="U14" s="27">
        <v>-1</v>
      </c>
      <c r="V14" s="27">
        <v>-1</v>
      </c>
      <c r="W14" s="27">
        <v>1</v>
      </c>
      <c r="X14" s="27">
        <v>4</v>
      </c>
      <c r="AA14" s="9" t="s">
        <v>226</v>
      </c>
      <c r="AB14" s="27">
        <v>100</v>
      </c>
      <c r="AD14" s="10">
        <v>2026</v>
      </c>
      <c r="AF14">
        <v>2021</v>
      </c>
      <c r="AM14" t="s">
        <v>21</v>
      </c>
    </row>
    <row r="15" spans="1:39">
      <c r="A15" s="9" t="s">
        <v>220</v>
      </c>
      <c r="B15" s="9" t="s">
        <v>349</v>
      </c>
      <c r="C15" s="9" t="s">
        <v>51</v>
      </c>
      <c r="D15" s="9"/>
      <c r="E15" s="9" t="s">
        <v>229</v>
      </c>
      <c r="F15" s="27">
        <v>0</v>
      </c>
      <c r="G15" s="9" t="s">
        <v>229</v>
      </c>
      <c r="H15" s="27">
        <v>1</v>
      </c>
      <c r="I15" s="9" t="s">
        <v>229</v>
      </c>
      <c r="J15" s="27">
        <v>1</v>
      </c>
      <c r="K15" s="9" t="s">
        <v>229</v>
      </c>
      <c r="L15" s="27">
        <v>1</v>
      </c>
      <c r="M15" s="9" t="s">
        <v>229</v>
      </c>
      <c r="N15" s="27">
        <v>1</v>
      </c>
      <c r="O15" t="s">
        <v>229</v>
      </c>
      <c r="P15" t="s">
        <v>244</v>
      </c>
      <c r="Q15" t="s">
        <v>229</v>
      </c>
      <c r="R15" t="s">
        <v>30</v>
      </c>
      <c r="S15" s="9" t="s">
        <v>229</v>
      </c>
      <c r="T15" s="27">
        <v>-1</v>
      </c>
      <c r="U15" s="27">
        <v>-1</v>
      </c>
      <c r="V15" s="27">
        <v>-1</v>
      </c>
      <c r="W15" s="27">
        <v>1</v>
      </c>
      <c r="X15" s="27">
        <v>-1</v>
      </c>
      <c r="AA15" s="9" t="s">
        <v>229</v>
      </c>
      <c r="AB15" s="27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226</v>
      </c>
      <c r="B16" s="9" t="s">
        <v>235</v>
      </c>
      <c r="C16" s="9" t="s">
        <v>52</v>
      </c>
      <c r="D16" s="9"/>
      <c r="E16" s="9" t="s">
        <v>230</v>
      </c>
      <c r="F16" s="27">
        <v>0</v>
      </c>
      <c r="G16" s="9" t="s">
        <v>230</v>
      </c>
      <c r="H16" s="27">
        <v>1</v>
      </c>
      <c r="I16" s="9" t="s">
        <v>230</v>
      </c>
      <c r="J16" s="27">
        <v>1</v>
      </c>
      <c r="K16" s="9" t="s">
        <v>230</v>
      </c>
      <c r="L16" s="27">
        <v>1</v>
      </c>
      <c r="M16" s="9" t="s">
        <v>230</v>
      </c>
      <c r="N16" s="27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 s="27">
        <v>-1</v>
      </c>
      <c r="U16" s="27">
        <v>1</v>
      </c>
      <c r="V16" s="27">
        <v>1</v>
      </c>
      <c r="W16" s="27">
        <v>1</v>
      </c>
      <c r="X16" s="27">
        <v>-1</v>
      </c>
      <c r="AA16" s="9" t="s">
        <v>230</v>
      </c>
      <c r="AB16" s="27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193</v>
      </c>
      <c r="B17" s="9" t="s">
        <v>237</v>
      </c>
      <c r="E17" s="9" t="s">
        <v>232</v>
      </c>
      <c r="F17" s="27">
        <v>0</v>
      </c>
      <c r="G17" s="9" t="s">
        <v>232</v>
      </c>
      <c r="H17" s="27">
        <v>1</v>
      </c>
      <c r="I17" s="9" t="s">
        <v>232</v>
      </c>
      <c r="J17" s="27">
        <v>1</v>
      </c>
      <c r="K17" s="9" t="s">
        <v>232</v>
      </c>
      <c r="L17" s="27">
        <v>1</v>
      </c>
      <c r="M17" s="9" t="s">
        <v>232</v>
      </c>
      <c r="N17" s="27">
        <v>1</v>
      </c>
      <c r="O17" t="s">
        <v>232</v>
      </c>
      <c r="P17" t="s">
        <v>231</v>
      </c>
      <c r="Q17" t="s">
        <v>232</v>
      </c>
      <c r="R17" t="s">
        <v>30</v>
      </c>
      <c r="S17" s="9" t="s">
        <v>232</v>
      </c>
      <c r="T17" s="27">
        <v>-1</v>
      </c>
      <c r="U17" s="27">
        <v>1</v>
      </c>
      <c r="V17" s="27">
        <v>1</v>
      </c>
      <c r="W17" s="27">
        <v>1</v>
      </c>
      <c r="X17" s="27">
        <v>-1</v>
      </c>
      <c r="AA17" s="9" t="s">
        <v>232</v>
      </c>
      <c r="AB17" s="27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234</v>
      </c>
      <c r="B18" s="9" t="s">
        <v>244</v>
      </c>
      <c r="E18" s="9" t="s">
        <v>234</v>
      </c>
      <c r="F18" s="27">
        <v>0</v>
      </c>
      <c r="G18" s="9" t="s">
        <v>234</v>
      </c>
      <c r="H18" s="27">
        <v>1</v>
      </c>
      <c r="I18" s="9" t="s">
        <v>234</v>
      </c>
      <c r="J18" s="27">
        <v>1</v>
      </c>
      <c r="K18" s="9" t="s">
        <v>234</v>
      </c>
      <c r="L18" s="27">
        <v>1</v>
      </c>
      <c r="M18" s="9" t="s">
        <v>234</v>
      </c>
      <c r="N18" s="27">
        <v>1</v>
      </c>
      <c r="O18" t="s">
        <v>234</v>
      </c>
      <c r="P18" t="s">
        <v>235</v>
      </c>
      <c r="Q18" t="s">
        <v>234</v>
      </c>
      <c r="R18" t="s">
        <v>30</v>
      </c>
      <c r="S18" s="9" t="s">
        <v>234</v>
      </c>
      <c r="T18" s="27">
        <v>-1</v>
      </c>
      <c r="U18" s="27">
        <v>1</v>
      </c>
      <c r="V18" s="27">
        <v>1</v>
      </c>
      <c r="W18" s="27">
        <v>1</v>
      </c>
      <c r="X18" s="27">
        <v>-1</v>
      </c>
      <c r="AA18" s="9" t="s">
        <v>234</v>
      </c>
      <c r="AB18" s="27">
        <v>7.000327102810413</v>
      </c>
      <c r="AD18" s="10">
        <v>2030</v>
      </c>
      <c r="AF18">
        <v>2025</v>
      </c>
      <c r="AM18" t="s">
        <v>25</v>
      </c>
    </row>
    <row r="19" spans="1:39">
      <c r="A19" s="9" t="s">
        <v>236</v>
      </c>
      <c r="B19" s="9" t="s">
        <v>245</v>
      </c>
      <c r="E19" s="9" t="s">
        <v>236</v>
      </c>
      <c r="F19" s="27">
        <v>0</v>
      </c>
      <c r="G19" s="9" t="s">
        <v>236</v>
      </c>
      <c r="H19" s="27">
        <v>1</v>
      </c>
      <c r="I19" s="9" t="s">
        <v>236</v>
      </c>
      <c r="J19" s="27">
        <v>1</v>
      </c>
      <c r="K19" s="9" t="s">
        <v>236</v>
      </c>
      <c r="L19" s="27">
        <v>1</v>
      </c>
      <c r="M19" s="9" t="s">
        <v>236</v>
      </c>
      <c r="N19" s="27">
        <v>1</v>
      </c>
      <c r="O19" t="s">
        <v>236</v>
      </c>
      <c r="P19" t="s">
        <v>237</v>
      </c>
      <c r="Q19" t="s">
        <v>236</v>
      </c>
      <c r="R19" t="s">
        <v>30</v>
      </c>
      <c r="S19" s="9" t="s">
        <v>236</v>
      </c>
      <c r="T19" s="27">
        <v>-1</v>
      </c>
      <c r="U19" s="27">
        <v>1</v>
      </c>
      <c r="V19" s="27">
        <v>1</v>
      </c>
      <c r="W19" s="27">
        <v>1</v>
      </c>
      <c r="X19" s="27">
        <v>-1</v>
      </c>
      <c r="AA19" s="9" t="s">
        <v>236</v>
      </c>
      <c r="AB19" s="27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246</v>
      </c>
      <c r="B20" s="9" t="s">
        <v>311</v>
      </c>
      <c r="E20" s="9" t="s">
        <v>246</v>
      </c>
      <c r="F20" s="27">
        <v>0</v>
      </c>
      <c r="G20" s="9" t="s">
        <v>246</v>
      </c>
      <c r="H20" s="27">
        <v>1</v>
      </c>
      <c r="I20" s="9" t="s">
        <v>246</v>
      </c>
      <c r="J20" s="27">
        <v>0</v>
      </c>
      <c r="K20" s="9" t="s">
        <v>246</v>
      </c>
      <c r="L20" s="27">
        <v>1</v>
      </c>
      <c r="M20" s="9" t="s">
        <v>246</v>
      </c>
      <c r="N20" s="27">
        <v>1</v>
      </c>
      <c r="O20" t="s">
        <v>246</v>
      </c>
      <c r="P20" t="s">
        <v>233</v>
      </c>
      <c r="Q20" t="s">
        <v>246</v>
      </c>
      <c r="R20" t="s">
        <v>30</v>
      </c>
      <c r="S20" s="9" t="s">
        <v>246</v>
      </c>
      <c r="T20" s="27">
        <v>-1</v>
      </c>
      <c r="U20" s="27">
        <v>-1</v>
      </c>
      <c r="V20" s="27">
        <v>-1</v>
      </c>
      <c r="W20" s="27">
        <v>1</v>
      </c>
      <c r="X20" s="27">
        <v>-1</v>
      </c>
      <c r="AA20" s="9" t="s">
        <v>246</v>
      </c>
      <c r="AB20" s="27">
        <v>9.9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312</v>
      </c>
      <c r="E21" s="9" t="s">
        <v>247</v>
      </c>
      <c r="F21" s="27">
        <v>0</v>
      </c>
      <c r="G21" s="9" t="s">
        <v>247</v>
      </c>
      <c r="H21" s="27">
        <v>1</v>
      </c>
      <c r="I21" s="9" t="s">
        <v>247</v>
      </c>
      <c r="J21" s="27">
        <v>0</v>
      </c>
      <c r="K21" s="9" t="s">
        <v>247</v>
      </c>
      <c r="L21" s="27">
        <v>1</v>
      </c>
      <c r="M21" s="9" t="s">
        <v>247</v>
      </c>
      <c r="N21" s="27">
        <v>1</v>
      </c>
      <c r="O21" t="s">
        <v>247</v>
      </c>
      <c r="P21" t="s">
        <v>311</v>
      </c>
      <c r="Q21" t="s">
        <v>247</v>
      </c>
      <c r="R21" t="s">
        <v>30</v>
      </c>
      <c r="S21" s="9" t="s">
        <v>247</v>
      </c>
      <c r="T21" s="27">
        <v>-1</v>
      </c>
      <c r="U21" s="27">
        <v>-1</v>
      </c>
      <c r="V21" s="27">
        <v>-1</v>
      </c>
      <c r="W21" s="27">
        <v>1</v>
      </c>
      <c r="X21" s="27">
        <v>-1</v>
      </c>
      <c r="AA21" s="9" t="s">
        <v>247</v>
      </c>
      <c r="AB21" s="27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313</v>
      </c>
      <c r="E22" s="9" t="s">
        <v>248</v>
      </c>
      <c r="F22" s="27">
        <v>0</v>
      </c>
      <c r="G22" s="9" t="s">
        <v>248</v>
      </c>
      <c r="H22" s="27">
        <v>1</v>
      </c>
      <c r="I22" s="9" t="s">
        <v>248</v>
      </c>
      <c r="J22" s="27">
        <v>0</v>
      </c>
      <c r="K22" s="9" t="s">
        <v>248</v>
      </c>
      <c r="L22" s="27">
        <v>1</v>
      </c>
      <c r="M22" s="9" t="s">
        <v>248</v>
      </c>
      <c r="N22" s="27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7">
        <v>-1</v>
      </c>
      <c r="U22" s="27">
        <v>-1</v>
      </c>
      <c r="V22" s="27">
        <v>-1</v>
      </c>
      <c r="W22" s="27">
        <v>1</v>
      </c>
      <c r="X22" s="27">
        <v>-1</v>
      </c>
      <c r="AA22" s="9" t="s">
        <v>248</v>
      </c>
      <c r="AB22" s="27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314</v>
      </c>
      <c r="E23" s="9" t="s">
        <v>249</v>
      </c>
      <c r="F23" s="27">
        <v>0</v>
      </c>
      <c r="G23" s="9" t="s">
        <v>249</v>
      </c>
      <c r="H23" s="27">
        <v>1</v>
      </c>
      <c r="I23" s="9" t="s">
        <v>249</v>
      </c>
      <c r="J23" s="27">
        <v>0</v>
      </c>
      <c r="K23" s="9" t="s">
        <v>249</v>
      </c>
      <c r="L23" s="27">
        <v>1</v>
      </c>
      <c r="M23" s="9" t="s">
        <v>249</v>
      </c>
      <c r="N23" s="27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7">
        <v>-1</v>
      </c>
      <c r="U23" s="27">
        <v>-1</v>
      </c>
      <c r="V23" s="27">
        <v>-1</v>
      </c>
      <c r="W23" s="27">
        <v>1</v>
      </c>
      <c r="X23" s="27">
        <v>-1</v>
      </c>
      <c r="AA23" s="9" t="s">
        <v>249</v>
      </c>
      <c r="AB23" s="27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315</v>
      </c>
      <c r="E24" s="9" t="s">
        <v>250</v>
      </c>
      <c r="F24" s="27">
        <v>0</v>
      </c>
      <c r="G24" s="9" t="s">
        <v>250</v>
      </c>
      <c r="H24" s="27">
        <v>1</v>
      </c>
      <c r="I24" s="9" t="s">
        <v>250</v>
      </c>
      <c r="J24" s="27">
        <v>0</v>
      </c>
      <c r="K24" s="9" t="s">
        <v>250</v>
      </c>
      <c r="L24" s="27">
        <v>1</v>
      </c>
      <c r="M24" s="9" t="s">
        <v>250</v>
      </c>
      <c r="N24" s="27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7">
        <v>-1</v>
      </c>
      <c r="U24" s="27">
        <v>-1</v>
      </c>
      <c r="V24" s="27">
        <v>-1</v>
      </c>
      <c r="W24" s="27">
        <v>1</v>
      </c>
      <c r="X24" s="27">
        <v>-1</v>
      </c>
      <c r="AA24" s="9" t="s">
        <v>250</v>
      </c>
      <c r="AB24" s="27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316</v>
      </c>
      <c r="E25" s="9" t="s">
        <v>251</v>
      </c>
      <c r="F25" s="27">
        <v>0</v>
      </c>
      <c r="G25" s="9" t="s">
        <v>251</v>
      </c>
      <c r="H25" s="27">
        <v>1</v>
      </c>
      <c r="I25" s="9" t="s">
        <v>251</v>
      </c>
      <c r="J25" s="27">
        <v>0</v>
      </c>
      <c r="K25" s="9" t="s">
        <v>251</v>
      </c>
      <c r="L25" s="27">
        <v>1</v>
      </c>
      <c r="M25" s="9" t="s">
        <v>251</v>
      </c>
      <c r="N25" s="27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7">
        <v>-1</v>
      </c>
      <c r="U25" s="27">
        <v>-1</v>
      </c>
      <c r="V25" s="27">
        <v>-1</v>
      </c>
      <c r="W25" s="27">
        <v>1</v>
      </c>
      <c r="X25" s="27">
        <v>-1</v>
      </c>
      <c r="AA25" s="9" t="s">
        <v>251</v>
      </c>
      <c r="AB25" s="27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317</v>
      </c>
      <c r="E26" s="9" t="s">
        <v>252</v>
      </c>
      <c r="F26" s="27">
        <v>0</v>
      </c>
      <c r="G26" s="9" t="s">
        <v>252</v>
      </c>
      <c r="H26" s="27">
        <v>1</v>
      </c>
      <c r="I26" s="9" t="s">
        <v>252</v>
      </c>
      <c r="J26" s="27">
        <v>0</v>
      </c>
      <c r="K26" s="9" t="s">
        <v>252</v>
      </c>
      <c r="L26" s="27">
        <v>1</v>
      </c>
      <c r="M26" s="9" t="s">
        <v>252</v>
      </c>
      <c r="N26" s="27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7">
        <v>-1</v>
      </c>
      <c r="U26" s="27">
        <v>-1</v>
      </c>
      <c r="V26" s="27">
        <v>-1</v>
      </c>
      <c r="W26" s="27">
        <v>1</v>
      </c>
      <c r="X26" s="27">
        <v>-1</v>
      </c>
      <c r="AA26" s="9" t="s">
        <v>252</v>
      </c>
      <c r="AB26" s="27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318</v>
      </c>
      <c r="E27" s="9" t="s">
        <v>253</v>
      </c>
      <c r="F27" s="27">
        <v>0</v>
      </c>
      <c r="G27" s="9" t="s">
        <v>253</v>
      </c>
      <c r="H27" s="27">
        <v>1</v>
      </c>
      <c r="I27" s="9" t="s">
        <v>253</v>
      </c>
      <c r="J27" s="27">
        <v>0</v>
      </c>
      <c r="K27" s="9" t="s">
        <v>253</v>
      </c>
      <c r="L27" s="27">
        <v>1</v>
      </c>
      <c r="M27" s="9" t="s">
        <v>253</v>
      </c>
      <c r="N27" s="27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7">
        <v>-1</v>
      </c>
      <c r="U27" s="27">
        <v>-1</v>
      </c>
      <c r="V27" s="27">
        <v>-1</v>
      </c>
      <c r="W27" s="27">
        <v>1</v>
      </c>
      <c r="X27" s="27">
        <v>-1</v>
      </c>
      <c r="AA27" s="9" t="s">
        <v>253</v>
      </c>
      <c r="AB27" s="27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319</v>
      </c>
      <c r="E28" s="9" t="s">
        <v>254</v>
      </c>
      <c r="F28" s="27">
        <v>0</v>
      </c>
      <c r="G28" s="9" t="s">
        <v>254</v>
      </c>
      <c r="H28" s="27">
        <v>1</v>
      </c>
      <c r="I28" s="9" t="s">
        <v>254</v>
      </c>
      <c r="J28" s="27">
        <v>0</v>
      </c>
      <c r="K28" s="9" t="s">
        <v>254</v>
      </c>
      <c r="L28" s="27">
        <v>1</v>
      </c>
      <c r="M28" s="9" t="s">
        <v>254</v>
      </c>
      <c r="N28" s="27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7">
        <v>-1</v>
      </c>
      <c r="U28" s="27">
        <v>-1</v>
      </c>
      <c r="V28" s="27">
        <v>-1</v>
      </c>
      <c r="W28" s="27">
        <v>1</v>
      </c>
      <c r="X28" s="27">
        <v>-1</v>
      </c>
      <c r="AA28" s="9" t="s">
        <v>254</v>
      </c>
      <c r="AB28" s="27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320</v>
      </c>
      <c r="E29" s="9" t="s">
        <v>255</v>
      </c>
      <c r="F29" s="27">
        <v>0</v>
      </c>
      <c r="G29" s="9" t="s">
        <v>255</v>
      </c>
      <c r="H29" s="27">
        <v>1</v>
      </c>
      <c r="I29" s="9" t="s">
        <v>255</v>
      </c>
      <c r="J29" s="27">
        <v>0</v>
      </c>
      <c r="K29" s="9" t="s">
        <v>255</v>
      </c>
      <c r="L29" s="27">
        <v>1</v>
      </c>
      <c r="M29" s="9" t="s">
        <v>255</v>
      </c>
      <c r="N29" s="27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7">
        <v>-1</v>
      </c>
      <c r="U29" s="27">
        <v>-1</v>
      </c>
      <c r="V29" s="27">
        <v>-1</v>
      </c>
      <c r="W29" s="27">
        <v>1</v>
      </c>
      <c r="X29" s="27">
        <v>-1</v>
      </c>
      <c r="AA29" s="9" t="s">
        <v>255</v>
      </c>
      <c r="AB29" s="27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321</v>
      </c>
      <c r="E30" s="9" t="s">
        <v>256</v>
      </c>
      <c r="F30" s="27">
        <v>0</v>
      </c>
      <c r="G30" s="9" t="s">
        <v>256</v>
      </c>
      <c r="H30" s="27">
        <v>1</v>
      </c>
      <c r="I30" s="9" t="s">
        <v>256</v>
      </c>
      <c r="J30" s="27">
        <v>0</v>
      </c>
      <c r="K30" s="9" t="s">
        <v>256</v>
      </c>
      <c r="L30" s="27">
        <v>1</v>
      </c>
      <c r="M30" s="9" t="s">
        <v>256</v>
      </c>
      <c r="N30" s="27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7">
        <v>-1</v>
      </c>
      <c r="U30" s="27">
        <v>1</v>
      </c>
      <c r="V30" s="27">
        <v>1</v>
      </c>
      <c r="W30" s="27">
        <v>1</v>
      </c>
      <c r="X30" s="27">
        <v>-1</v>
      </c>
      <c r="AA30" s="9" t="s">
        <v>256</v>
      </c>
      <c r="AB30" s="27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322</v>
      </c>
      <c r="E31" s="9" t="s">
        <v>257</v>
      </c>
      <c r="F31" s="27">
        <v>0</v>
      </c>
      <c r="G31" s="9" t="s">
        <v>257</v>
      </c>
      <c r="H31" s="27">
        <v>1</v>
      </c>
      <c r="I31" s="9" t="s">
        <v>257</v>
      </c>
      <c r="J31" s="27">
        <v>0</v>
      </c>
      <c r="K31" s="9" t="s">
        <v>257</v>
      </c>
      <c r="L31" s="27">
        <v>1</v>
      </c>
      <c r="M31" s="9" t="s">
        <v>257</v>
      </c>
      <c r="N31" s="27">
        <v>1</v>
      </c>
      <c r="O31" t="s">
        <v>257</v>
      </c>
      <c r="P31" t="s">
        <v>233</v>
      </c>
      <c r="Q31" t="s">
        <v>257</v>
      </c>
      <c r="R31" t="s">
        <v>30</v>
      </c>
      <c r="S31" s="9" t="s">
        <v>257</v>
      </c>
      <c r="T31" s="27">
        <v>-1</v>
      </c>
      <c r="U31" s="27">
        <v>-1</v>
      </c>
      <c r="V31" s="27">
        <v>-1</v>
      </c>
      <c r="W31" s="27">
        <v>1</v>
      </c>
      <c r="X31" s="27">
        <v>-1</v>
      </c>
      <c r="AA31" s="9" t="s">
        <v>257</v>
      </c>
      <c r="AB31" s="27">
        <v>5.8</v>
      </c>
      <c r="AD31" s="10">
        <v>2043</v>
      </c>
      <c r="AF31">
        <v>2040</v>
      </c>
    </row>
    <row r="32" spans="1:39">
      <c r="A32" s="9" t="s">
        <v>258</v>
      </c>
      <c r="B32" s="9" t="s">
        <v>323</v>
      </c>
      <c r="E32" s="9" t="s">
        <v>258</v>
      </c>
      <c r="F32" s="27">
        <v>0</v>
      </c>
      <c r="G32" s="9" t="s">
        <v>258</v>
      </c>
      <c r="H32" s="27">
        <v>1</v>
      </c>
      <c r="I32" s="9" t="s">
        <v>258</v>
      </c>
      <c r="J32" s="27">
        <v>0</v>
      </c>
      <c r="K32" s="9" t="s">
        <v>258</v>
      </c>
      <c r="L32" s="27">
        <v>1</v>
      </c>
      <c r="M32" s="9" t="s">
        <v>258</v>
      </c>
      <c r="N32" s="27">
        <v>1</v>
      </c>
      <c r="O32" t="s">
        <v>258</v>
      </c>
      <c r="P32" t="s">
        <v>316</v>
      </c>
      <c r="Q32" t="s">
        <v>258</v>
      </c>
      <c r="R32" t="s">
        <v>30</v>
      </c>
      <c r="S32" s="9" t="s">
        <v>258</v>
      </c>
      <c r="T32" s="27">
        <v>-1</v>
      </c>
      <c r="U32" s="27">
        <v>-1</v>
      </c>
      <c r="V32" s="27">
        <v>-1</v>
      </c>
      <c r="W32" s="27">
        <v>1</v>
      </c>
      <c r="X32" s="27">
        <v>-1</v>
      </c>
      <c r="AA32" s="9" t="s">
        <v>258</v>
      </c>
      <c r="AB32" s="27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324</v>
      </c>
      <c r="E33" s="9" t="s">
        <v>259</v>
      </c>
      <c r="F33" s="27">
        <v>0</v>
      </c>
      <c r="G33" s="9" t="s">
        <v>259</v>
      </c>
      <c r="H33" s="27">
        <v>1</v>
      </c>
      <c r="I33" s="9" t="s">
        <v>259</v>
      </c>
      <c r="J33" s="27">
        <v>0</v>
      </c>
      <c r="K33" s="9" t="s">
        <v>259</v>
      </c>
      <c r="L33" s="27">
        <v>1</v>
      </c>
      <c r="M33" s="9" t="s">
        <v>259</v>
      </c>
      <c r="N33" s="27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7">
        <v>-1</v>
      </c>
      <c r="U33" s="27">
        <v>-1</v>
      </c>
      <c r="V33" s="27">
        <v>-1</v>
      </c>
      <c r="W33" s="27">
        <v>1</v>
      </c>
      <c r="X33" s="27">
        <v>-1</v>
      </c>
      <c r="AA33" s="9" t="s">
        <v>259</v>
      </c>
      <c r="AB33" s="27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325</v>
      </c>
      <c r="E34" s="9" t="s">
        <v>260</v>
      </c>
      <c r="F34" s="27">
        <v>0</v>
      </c>
      <c r="G34" s="9" t="s">
        <v>260</v>
      </c>
      <c r="H34" s="27">
        <v>1</v>
      </c>
      <c r="I34" s="9" t="s">
        <v>260</v>
      </c>
      <c r="J34" s="27">
        <v>0</v>
      </c>
      <c r="K34" s="9" t="s">
        <v>260</v>
      </c>
      <c r="L34" s="27">
        <v>1</v>
      </c>
      <c r="M34" s="9" t="s">
        <v>260</v>
      </c>
      <c r="N34" s="27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7">
        <v>-1</v>
      </c>
      <c r="U34" s="27">
        <v>-1</v>
      </c>
      <c r="V34" s="27">
        <v>-1</v>
      </c>
      <c r="W34" s="27">
        <v>1</v>
      </c>
      <c r="X34" s="27">
        <v>-1</v>
      </c>
      <c r="AA34" s="9" t="s">
        <v>260</v>
      </c>
      <c r="AB34" s="27">
        <v>5.8</v>
      </c>
      <c r="AD34" s="10">
        <v>2046</v>
      </c>
    </row>
    <row r="35" spans="1:32">
      <c r="A35" s="9" t="s">
        <v>261</v>
      </c>
      <c r="B35" s="9" t="s">
        <v>326</v>
      </c>
      <c r="E35" s="9" t="s">
        <v>261</v>
      </c>
      <c r="F35" s="27">
        <v>0</v>
      </c>
      <c r="G35" s="9" t="s">
        <v>261</v>
      </c>
      <c r="H35" s="27">
        <v>1</v>
      </c>
      <c r="I35" s="9" t="s">
        <v>261</v>
      </c>
      <c r="J35" s="27">
        <v>0</v>
      </c>
      <c r="K35" s="9" t="s">
        <v>261</v>
      </c>
      <c r="L35" s="27">
        <v>1</v>
      </c>
      <c r="M35" s="9" t="s">
        <v>261</v>
      </c>
      <c r="N35" s="27">
        <v>1</v>
      </c>
      <c r="O35" t="s">
        <v>261</v>
      </c>
      <c r="P35" t="s">
        <v>321</v>
      </c>
      <c r="Q35" t="s">
        <v>261</v>
      </c>
      <c r="R35" t="s">
        <v>30</v>
      </c>
      <c r="S35" s="9" t="s">
        <v>261</v>
      </c>
      <c r="T35" s="27">
        <v>-1</v>
      </c>
      <c r="U35" s="27">
        <v>-1</v>
      </c>
      <c r="V35" s="27">
        <v>-1</v>
      </c>
      <c r="W35" s="27">
        <v>1</v>
      </c>
      <c r="X35" s="27">
        <v>-1</v>
      </c>
      <c r="AA35" s="9" t="s">
        <v>261</v>
      </c>
      <c r="AB35" s="27">
        <v>5.8</v>
      </c>
      <c r="AD35" s="10">
        <v>2047</v>
      </c>
    </row>
    <row r="36" spans="1:32">
      <c r="A36" s="9" t="s">
        <v>262</v>
      </c>
      <c r="B36" s="9" t="s">
        <v>327</v>
      </c>
      <c r="E36" s="9" t="s">
        <v>262</v>
      </c>
      <c r="F36" s="27">
        <v>0</v>
      </c>
      <c r="G36" s="9" t="s">
        <v>262</v>
      </c>
      <c r="H36" s="27">
        <v>1</v>
      </c>
      <c r="I36" s="9" t="s">
        <v>262</v>
      </c>
      <c r="J36" s="27">
        <v>0</v>
      </c>
      <c r="K36" s="9" t="s">
        <v>262</v>
      </c>
      <c r="L36" s="27">
        <v>1</v>
      </c>
      <c r="M36" s="9" t="s">
        <v>262</v>
      </c>
      <c r="N36" s="27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7">
        <v>-1</v>
      </c>
      <c r="U36" s="27">
        <v>-1</v>
      </c>
      <c r="V36" s="27">
        <v>-1</v>
      </c>
      <c r="W36" s="27">
        <v>1</v>
      </c>
      <c r="X36" s="27">
        <v>-1</v>
      </c>
      <c r="AA36" s="9" t="s">
        <v>262</v>
      </c>
      <c r="AB36" s="27">
        <v>5.8</v>
      </c>
      <c r="AD36" s="10">
        <v>2048</v>
      </c>
    </row>
    <row r="37" spans="1:32">
      <c r="A37" s="9" t="s">
        <v>263</v>
      </c>
      <c r="B37" s="9" t="s">
        <v>328</v>
      </c>
      <c r="E37" s="9" t="s">
        <v>263</v>
      </c>
      <c r="F37" s="27">
        <v>0</v>
      </c>
      <c r="G37" s="9" t="s">
        <v>263</v>
      </c>
      <c r="H37" s="27">
        <v>1</v>
      </c>
      <c r="I37" s="9" t="s">
        <v>263</v>
      </c>
      <c r="J37" s="27">
        <v>0</v>
      </c>
      <c r="K37" s="9" t="s">
        <v>263</v>
      </c>
      <c r="L37" s="27">
        <v>1</v>
      </c>
      <c r="M37" s="9" t="s">
        <v>263</v>
      </c>
      <c r="N37" s="27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7">
        <v>-1</v>
      </c>
      <c r="U37" s="27">
        <v>-1</v>
      </c>
      <c r="V37" s="27">
        <v>-1</v>
      </c>
      <c r="W37" s="27">
        <v>1</v>
      </c>
      <c r="X37" s="27">
        <v>-1</v>
      </c>
      <c r="AA37" s="9" t="s">
        <v>263</v>
      </c>
      <c r="AB37" s="27">
        <v>5.8</v>
      </c>
      <c r="AD37" s="10">
        <v>2049</v>
      </c>
    </row>
    <row r="38" spans="1:32">
      <c r="A38" s="9" t="s">
        <v>264</v>
      </c>
      <c r="B38" s="9" t="s">
        <v>329</v>
      </c>
      <c r="E38" s="9" t="s">
        <v>264</v>
      </c>
      <c r="F38" s="27">
        <v>0</v>
      </c>
      <c r="G38" s="9" t="s">
        <v>264</v>
      </c>
      <c r="H38" s="27">
        <v>1</v>
      </c>
      <c r="I38" s="9" t="s">
        <v>264</v>
      </c>
      <c r="J38" s="27">
        <v>0</v>
      </c>
      <c r="K38" s="9" t="s">
        <v>264</v>
      </c>
      <c r="L38" s="27">
        <v>1</v>
      </c>
      <c r="M38" s="9" t="s">
        <v>264</v>
      </c>
      <c r="N38" s="27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7">
        <v>-1</v>
      </c>
      <c r="U38" s="27">
        <v>1</v>
      </c>
      <c r="V38" s="27">
        <v>1</v>
      </c>
      <c r="W38" s="27">
        <v>1</v>
      </c>
      <c r="X38" s="27">
        <v>-1</v>
      </c>
      <c r="AA38" s="9" t="s">
        <v>264</v>
      </c>
      <c r="AB38" s="27">
        <v>5.8</v>
      </c>
      <c r="AD38" s="10">
        <v>2050</v>
      </c>
    </row>
    <row r="39" spans="1:32">
      <c r="A39" s="9" t="s">
        <v>265</v>
      </c>
      <c r="B39" s="9" t="s">
        <v>330</v>
      </c>
      <c r="E39" s="9" t="s">
        <v>265</v>
      </c>
      <c r="F39" s="27">
        <v>0</v>
      </c>
      <c r="G39" s="9" t="s">
        <v>265</v>
      </c>
      <c r="H39" s="27">
        <v>1</v>
      </c>
      <c r="I39" s="9" t="s">
        <v>265</v>
      </c>
      <c r="J39" s="27">
        <v>0</v>
      </c>
      <c r="K39" s="9" t="s">
        <v>265</v>
      </c>
      <c r="L39" s="27">
        <v>1</v>
      </c>
      <c r="M39" s="9" t="s">
        <v>265</v>
      </c>
      <c r="N39" s="27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7">
        <v>-1</v>
      </c>
      <c r="U39" s="27">
        <v>1</v>
      </c>
      <c r="V39" s="27">
        <v>1</v>
      </c>
      <c r="W39" s="27">
        <v>1</v>
      </c>
      <c r="X39" s="27">
        <v>-1</v>
      </c>
      <c r="AA39" s="9" t="s">
        <v>265</v>
      </c>
      <c r="AB39" s="27">
        <v>5.8</v>
      </c>
    </row>
    <row r="40" spans="1:32">
      <c r="A40" s="9" t="s">
        <v>266</v>
      </c>
      <c r="B40" s="9" t="s">
        <v>331</v>
      </c>
      <c r="E40" s="9" t="s">
        <v>266</v>
      </c>
      <c r="F40" s="27">
        <v>0</v>
      </c>
      <c r="G40" s="9" t="s">
        <v>266</v>
      </c>
      <c r="H40" s="27">
        <v>1</v>
      </c>
      <c r="I40" s="9" t="s">
        <v>266</v>
      </c>
      <c r="J40" s="27">
        <v>0</v>
      </c>
      <c r="K40" s="9" t="s">
        <v>266</v>
      </c>
      <c r="L40" s="27">
        <v>1</v>
      </c>
      <c r="M40" s="9" t="s">
        <v>266</v>
      </c>
      <c r="N40" s="27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7">
        <v>-1</v>
      </c>
      <c r="U40" s="27">
        <v>1</v>
      </c>
      <c r="V40" s="27">
        <v>1</v>
      </c>
      <c r="W40" s="27">
        <v>1</v>
      </c>
      <c r="X40" s="27">
        <v>-1</v>
      </c>
      <c r="AA40" s="9" t="s">
        <v>266</v>
      </c>
      <c r="AB40" s="27">
        <v>5.8</v>
      </c>
    </row>
    <row r="41" spans="1:32">
      <c r="A41" s="9" t="s">
        <v>267</v>
      </c>
      <c r="B41" s="9" t="s">
        <v>332</v>
      </c>
      <c r="E41" s="9" t="s">
        <v>267</v>
      </c>
      <c r="F41" s="27">
        <v>0</v>
      </c>
      <c r="G41" s="9" t="s">
        <v>267</v>
      </c>
      <c r="H41" s="27">
        <v>1</v>
      </c>
      <c r="I41" s="9" t="s">
        <v>267</v>
      </c>
      <c r="J41" s="27">
        <v>0</v>
      </c>
      <c r="K41" s="9" t="s">
        <v>267</v>
      </c>
      <c r="L41" s="27">
        <v>1</v>
      </c>
      <c r="M41" s="9" t="s">
        <v>267</v>
      </c>
      <c r="N41" s="27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7">
        <v>-1</v>
      </c>
      <c r="U41" s="27">
        <v>-1</v>
      </c>
      <c r="V41" s="27">
        <v>-1</v>
      </c>
      <c r="W41" s="27">
        <v>1</v>
      </c>
      <c r="X41" s="27">
        <v>-1</v>
      </c>
      <c r="AA41" s="9" t="s">
        <v>267</v>
      </c>
      <c r="AB41" s="27">
        <v>5.8</v>
      </c>
    </row>
    <row r="42" spans="1:32">
      <c r="A42" s="9" t="s">
        <v>268</v>
      </c>
      <c r="B42" s="9" t="s">
        <v>333</v>
      </c>
      <c r="E42" s="9" t="s">
        <v>268</v>
      </c>
      <c r="F42" s="27">
        <v>0</v>
      </c>
      <c r="G42" s="9" t="s">
        <v>268</v>
      </c>
      <c r="H42" s="27">
        <v>1</v>
      </c>
      <c r="I42" s="9" t="s">
        <v>268</v>
      </c>
      <c r="J42" s="27">
        <v>0</v>
      </c>
      <c r="K42" s="9" t="s">
        <v>268</v>
      </c>
      <c r="L42" s="27">
        <v>1</v>
      </c>
      <c r="M42" s="9" t="s">
        <v>268</v>
      </c>
      <c r="N42" s="27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7">
        <v>-1</v>
      </c>
      <c r="U42" s="27">
        <v>1</v>
      </c>
      <c r="V42" s="27">
        <v>1</v>
      </c>
      <c r="W42" s="27">
        <v>1</v>
      </c>
      <c r="X42" s="27">
        <v>-1</v>
      </c>
      <c r="AA42" s="9" t="s">
        <v>268</v>
      </c>
      <c r="AB42" s="27">
        <v>5.8</v>
      </c>
    </row>
    <row r="43" spans="1:32">
      <c r="A43" s="9" t="s">
        <v>269</v>
      </c>
      <c r="B43" s="9" t="s">
        <v>334</v>
      </c>
      <c r="E43" s="9" t="s">
        <v>269</v>
      </c>
      <c r="F43" s="27">
        <v>0</v>
      </c>
      <c r="G43" s="9" t="s">
        <v>269</v>
      </c>
      <c r="H43" s="27">
        <v>1</v>
      </c>
      <c r="I43" s="9" t="s">
        <v>269</v>
      </c>
      <c r="J43" s="27">
        <v>0</v>
      </c>
      <c r="K43" s="9" t="s">
        <v>269</v>
      </c>
      <c r="L43" s="27">
        <v>1</v>
      </c>
      <c r="M43" s="9" t="s">
        <v>269</v>
      </c>
      <c r="N43" s="27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7">
        <v>-1</v>
      </c>
      <c r="U43" s="27">
        <v>-1</v>
      </c>
      <c r="V43" s="27">
        <v>-1</v>
      </c>
      <c r="W43" s="27">
        <v>1</v>
      </c>
      <c r="X43" s="27">
        <v>-1</v>
      </c>
      <c r="AA43" s="9" t="s">
        <v>269</v>
      </c>
      <c r="AB43" s="27">
        <v>5.8</v>
      </c>
    </row>
    <row r="44" spans="1:32">
      <c r="A44" s="9" t="s">
        <v>270</v>
      </c>
      <c r="B44" s="9" t="s">
        <v>337</v>
      </c>
      <c r="E44" s="9" t="s">
        <v>270</v>
      </c>
      <c r="F44" s="27">
        <v>0</v>
      </c>
      <c r="G44" s="9" t="s">
        <v>270</v>
      </c>
      <c r="H44" s="27">
        <v>1</v>
      </c>
      <c r="I44" s="9" t="s">
        <v>270</v>
      </c>
      <c r="J44" s="27">
        <v>0</v>
      </c>
      <c r="K44" s="9" t="s">
        <v>270</v>
      </c>
      <c r="L44" s="27">
        <v>1</v>
      </c>
      <c r="M44" s="9" t="s">
        <v>270</v>
      </c>
      <c r="N44" s="27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7">
        <v>-1</v>
      </c>
      <c r="U44" s="27">
        <v>-1</v>
      </c>
      <c r="V44" s="27">
        <v>-1</v>
      </c>
      <c r="W44" s="27">
        <v>1</v>
      </c>
      <c r="X44" s="27">
        <v>-1</v>
      </c>
      <c r="AA44" s="9" t="s">
        <v>270</v>
      </c>
      <c r="AB44" s="27">
        <v>5.8</v>
      </c>
    </row>
    <row r="45" spans="1:32">
      <c r="A45" s="9" t="s">
        <v>271</v>
      </c>
      <c r="B45" s="9" t="s">
        <v>345</v>
      </c>
      <c r="E45" s="9" t="s">
        <v>271</v>
      </c>
      <c r="F45" s="27">
        <v>0</v>
      </c>
      <c r="G45" s="9" t="s">
        <v>271</v>
      </c>
      <c r="H45" s="27">
        <v>1</v>
      </c>
      <c r="I45" s="9" t="s">
        <v>271</v>
      </c>
      <c r="J45" s="27">
        <v>0</v>
      </c>
      <c r="K45" s="9" t="s">
        <v>271</v>
      </c>
      <c r="L45" s="27">
        <v>1</v>
      </c>
      <c r="M45" s="9" t="s">
        <v>271</v>
      </c>
      <c r="N45" s="27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7">
        <v>-1</v>
      </c>
      <c r="U45" s="27">
        <v>-1</v>
      </c>
      <c r="V45" s="27">
        <v>-1</v>
      </c>
      <c r="W45" s="27">
        <v>1</v>
      </c>
      <c r="X45" s="27">
        <v>-1</v>
      </c>
      <c r="AA45" s="9" t="s">
        <v>271</v>
      </c>
      <c r="AB45" s="27">
        <v>5.8</v>
      </c>
    </row>
    <row r="46" spans="1:32">
      <c r="A46" s="9" t="s">
        <v>272</v>
      </c>
      <c r="B46" s="9" t="s">
        <v>346</v>
      </c>
      <c r="E46" s="9" t="s">
        <v>272</v>
      </c>
      <c r="F46" s="27">
        <v>0</v>
      </c>
      <c r="G46" s="9" t="s">
        <v>272</v>
      </c>
      <c r="H46" s="27">
        <v>1</v>
      </c>
      <c r="I46" s="9" t="s">
        <v>272</v>
      </c>
      <c r="J46" s="27">
        <v>0</v>
      </c>
      <c r="K46" s="9" t="s">
        <v>272</v>
      </c>
      <c r="L46" s="27">
        <v>1</v>
      </c>
      <c r="M46" s="9" t="s">
        <v>272</v>
      </c>
      <c r="N46" s="27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7">
        <v>-1</v>
      </c>
      <c r="U46" s="27">
        <v>1</v>
      </c>
      <c r="V46" s="27">
        <v>1</v>
      </c>
      <c r="W46" s="27">
        <v>1</v>
      </c>
      <c r="X46" s="27">
        <v>-1</v>
      </c>
      <c r="AA46" s="9" t="s">
        <v>272</v>
      </c>
      <c r="AB46" s="27">
        <v>5.8</v>
      </c>
    </row>
    <row r="47" spans="1:32">
      <c r="A47" s="9" t="s">
        <v>273</v>
      </c>
      <c r="B47" s="9" t="s">
        <v>352</v>
      </c>
      <c r="E47" s="9" t="s">
        <v>273</v>
      </c>
      <c r="F47" s="27">
        <v>0</v>
      </c>
      <c r="G47" s="9" t="s">
        <v>273</v>
      </c>
      <c r="H47" s="27">
        <v>1</v>
      </c>
      <c r="I47" s="9" t="s">
        <v>273</v>
      </c>
      <c r="J47" s="27">
        <v>0</v>
      </c>
      <c r="K47" s="9" t="s">
        <v>273</v>
      </c>
      <c r="L47" s="27">
        <v>1</v>
      </c>
      <c r="M47" s="9" t="s">
        <v>273</v>
      </c>
      <c r="N47" s="27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7">
        <v>-1</v>
      </c>
      <c r="U47" s="27">
        <v>1</v>
      </c>
      <c r="V47" s="27">
        <v>1</v>
      </c>
      <c r="W47" s="27">
        <v>1</v>
      </c>
      <c r="X47" s="27">
        <v>-1</v>
      </c>
      <c r="AA47" s="9" t="s">
        <v>273</v>
      </c>
      <c r="AB47" s="27">
        <v>5.8</v>
      </c>
    </row>
    <row r="48" spans="1:32">
      <c r="A48" s="9" t="s">
        <v>274</v>
      </c>
      <c r="B48" s="9" t="s">
        <v>355</v>
      </c>
      <c r="E48" s="9" t="s">
        <v>274</v>
      </c>
      <c r="F48" s="27">
        <v>0</v>
      </c>
      <c r="G48" s="9" t="s">
        <v>274</v>
      </c>
      <c r="H48" s="27">
        <v>1</v>
      </c>
      <c r="I48" s="9" t="s">
        <v>274</v>
      </c>
      <c r="J48" s="27">
        <v>0</v>
      </c>
      <c r="K48" s="9" t="s">
        <v>274</v>
      </c>
      <c r="L48" s="27">
        <v>1</v>
      </c>
      <c r="M48" s="9" t="s">
        <v>274</v>
      </c>
      <c r="N48" s="27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7">
        <v>-1</v>
      </c>
      <c r="U48" s="27">
        <v>1</v>
      </c>
      <c r="V48" s="27">
        <v>1</v>
      </c>
      <c r="W48" s="27">
        <v>1</v>
      </c>
      <c r="X48" s="27">
        <v>-1</v>
      </c>
      <c r="AA48" s="9" t="s">
        <v>274</v>
      </c>
      <c r="AB48" s="27">
        <v>5.8</v>
      </c>
    </row>
    <row r="49" spans="1:28">
      <c r="A49" s="9" t="s">
        <v>275</v>
      </c>
      <c r="B49" s="9" t="s">
        <v>357</v>
      </c>
      <c r="E49" s="9" t="s">
        <v>275</v>
      </c>
      <c r="F49" s="27">
        <v>0</v>
      </c>
      <c r="G49" s="9" t="s">
        <v>275</v>
      </c>
      <c r="H49" s="27">
        <v>1</v>
      </c>
      <c r="I49" s="9" t="s">
        <v>275</v>
      </c>
      <c r="J49" s="27">
        <v>0</v>
      </c>
      <c r="K49" s="9" t="s">
        <v>275</v>
      </c>
      <c r="L49" s="27">
        <v>1</v>
      </c>
      <c r="M49" s="9" t="s">
        <v>275</v>
      </c>
      <c r="N49" s="27">
        <v>1</v>
      </c>
      <c r="O49" t="s">
        <v>275</v>
      </c>
      <c r="P49" t="s">
        <v>233</v>
      </c>
      <c r="Q49" t="s">
        <v>275</v>
      </c>
      <c r="R49" t="s">
        <v>30</v>
      </c>
      <c r="S49" s="9" t="s">
        <v>275</v>
      </c>
      <c r="T49" s="27">
        <v>-1</v>
      </c>
      <c r="U49" s="27">
        <v>-1</v>
      </c>
      <c r="V49" s="27">
        <v>-1</v>
      </c>
      <c r="W49" s="27">
        <v>1</v>
      </c>
      <c r="X49" s="27">
        <v>-1</v>
      </c>
      <c r="AA49" s="9" t="s">
        <v>275</v>
      </c>
      <c r="AB49" s="27">
        <v>6</v>
      </c>
    </row>
    <row r="50" spans="1:28">
      <c r="A50" s="9" t="s">
        <v>276</v>
      </c>
      <c r="B50" s="9" t="s">
        <v>363</v>
      </c>
      <c r="E50" s="9" t="s">
        <v>276</v>
      </c>
      <c r="F50" s="27">
        <v>0</v>
      </c>
      <c r="G50" s="9" t="s">
        <v>276</v>
      </c>
      <c r="H50" s="27">
        <v>1</v>
      </c>
      <c r="I50" s="9" t="s">
        <v>276</v>
      </c>
      <c r="J50" s="27">
        <v>0</v>
      </c>
      <c r="K50" s="9" t="s">
        <v>276</v>
      </c>
      <c r="L50" s="27">
        <v>1</v>
      </c>
      <c r="M50" s="9" t="s">
        <v>276</v>
      </c>
      <c r="N50" s="27">
        <v>1</v>
      </c>
      <c r="O50" t="s">
        <v>276</v>
      </c>
      <c r="P50" t="s">
        <v>316</v>
      </c>
      <c r="Q50" t="s">
        <v>276</v>
      </c>
      <c r="R50" t="s">
        <v>30</v>
      </c>
      <c r="S50" s="9" t="s">
        <v>276</v>
      </c>
      <c r="T50" s="27">
        <v>-1</v>
      </c>
      <c r="U50" s="27">
        <v>-1</v>
      </c>
      <c r="V50" s="27">
        <v>-1</v>
      </c>
      <c r="W50" s="27">
        <v>1</v>
      </c>
      <c r="X50" s="27">
        <v>-1</v>
      </c>
      <c r="AA50" s="9" t="s">
        <v>276</v>
      </c>
      <c r="AB50" s="27">
        <v>6</v>
      </c>
    </row>
    <row r="51" spans="1:28">
      <c r="A51" s="9" t="s">
        <v>277</v>
      </c>
      <c r="B51" s="9" t="s">
        <v>364</v>
      </c>
      <c r="E51" s="9" t="s">
        <v>277</v>
      </c>
      <c r="F51" s="27">
        <v>0</v>
      </c>
      <c r="G51" s="9" t="s">
        <v>277</v>
      </c>
      <c r="H51" s="27">
        <v>1</v>
      </c>
      <c r="I51" s="9" t="s">
        <v>277</v>
      </c>
      <c r="J51" s="27">
        <v>0</v>
      </c>
      <c r="K51" s="9" t="s">
        <v>277</v>
      </c>
      <c r="L51" s="27">
        <v>1</v>
      </c>
      <c r="M51" s="9" t="s">
        <v>277</v>
      </c>
      <c r="N51" s="27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7">
        <v>-1</v>
      </c>
      <c r="U51" s="27">
        <v>-1</v>
      </c>
      <c r="V51" s="27">
        <v>-1</v>
      </c>
      <c r="W51" s="27">
        <v>1</v>
      </c>
      <c r="X51" s="27">
        <v>-1</v>
      </c>
      <c r="AA51" s="9" t="s">
        <v>277</v>
      </c>
      <c r="AB51" s="27">
        <v>6</v>
      </c>
    </row>
    <row r="52" spans="1:28">
      <c r="A52" s="9" t="s">
        <v>278</v>
      </c>
      <c r="E52" s="9" t="s">
        <v>278</v>
      </c>
      <c r="F52" s="27">
        <v>0</v>
      </c>
      <c r="G52" s="9" t="s">
        <v>278</v>
      </c>
      <c r="H52" s="27">
        <v>1</v>
      </c>
      <c r="I52" s="9" t="s">
        <v>278</v>
      </c>
      <c r="J52" s="27">
        <v>0</v>
      </c>
      <c r="K52" s="9" t="s">
        <v>278</v>
      </c>
      <c r="L52" s="27">
        <v>1</v>
      </c>
      <c r="M52" s="9" t="s">
        <v>278</v>
      </c>
      <c r="N52" s="27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7">
        <v>-1</v>
      </c>
      <c r="U52" s="27">
        <v>-1</v>
      </c>
      <c r="V52" s="27">
        <v>-1</v>
      </c>
      <c r="W52" s="27">
        <v>1</v>
      </c>
      <c r="X52" s="27">
        <v>-1</v>
      </c>
      <c r="AA52" s="9" t="s">
        <v>278</v>
      </c>
      <c r="AB52" s="27">
        <v>6</v>
      </c>
    </row>
    <row r="53" spans="1:28">
      <c r="A53" s="9" t="s">
        <v>279</v>
      </c>
      <c r="E53" s="9" t="s">
        <v>279</v>
      </c>
      <c r="F53" s="27">
        <v>0</v>
      </c>
      <c r="G53" s="9" t="s">
        <v>279</v>
      </c>
      <c r="H53" s="27">
        <v>1</v>
      </c>
      <c r="I53" s="9" t="s">
        <v>279</v>
      </c>
      <c r="J53" s="27">
        <v>0</v>
      </c>
      <c r="K53" s="9" t="s">
        <v>279</v>
      </c>
      <c r="L53" s="27">
        <v>1</v>
      </c>
      <c r="M53" s="9" t="s">
        <v>279</v>
      </c>
      <c r="N53" s="27">
        <v>1</v>
      </c>
      <c r="O53" t="s">
        <v>279</v>
      </c>
      <c r="P53" t="s">
        <v>321</v>
      </c>
      <c r="Q53" t="s">
        <v>279</v>
      </c>
      <c r="R53" t="s">
        <v>30</v>
      </c>
      <c r="S53" s="9" t="s">
        <v>279</v>
      </c>
      <c r="T53" s="27">
        <v>-1</v>
      </c>
      <c r="U53" s="27">
        <v>-1</v>
      </c>
      <c r="V53" s="27">
        <v>-1</v>
      </c>
      <c r="W53" s="27">
        <v>1</v>
      </c>
      <c r="X53" s="27">
        <v>-1</v>
      </c>
      <c r="AA53" s="9" t="s">
        <v>279</v>
      </c>
      <c r="AB53" s="27">
        <v>6</v>
      </c>
    </row>
    <row r="54" spans="1:28">
      <c r="A54" s="9" t="s">
        <v>280</v>
      </c>
      <c r="E54" s="9" t="s">
        <v>280</v>
      </c>
      <c r="F54" s="27">
        <v>0</v>
      </c>
      <c r="G54" s="9" t="s">
        <v>280</v>
      </c>
      <c r="H54" s="27">
        <v>1</v>
      </c>
      <c r="I54" s="9" t="s">
        <v>280</v>
      </c>
      <c r="J54" s="27">
        <v>0</v>
      </c>
      <c r="K54" s="9" t="s">
        <v>280</v>
      </c>
      <c r="L54" s="27">
        <v>1</v>
      </c>
      <c r="M54" s="9" t="s">
        <v>280</v>
      </c>
      <c r="N54" s="27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7">
        <v>-1</v>
      </c>
      <c r="U54" s="27">
        <v>-1</v>
      </c>
      <c r="V54" s="27">
        <v>-1</v>
      </c>
      <c r="W54" s="27">
        <v>1</v>
      </c>
      <c r="X54" s="27">
        <v>-1</v>
      </c>
      <c r="AA54" s="9" t="s">
        <v>280</v>
      </c>
      <c r="AB54" s="27">
        <v>6</v>
      </c>
    </row>
    <row r="55" spans="1:28">
      <c r="A55" s="9" t="s">
        <v>281</v>
      </c>
      <c r="E55" s="9" t="s">
        <v>281</v>
      </c>
      <c r="F55" s="27">
        <v>0</v>
      </c>
      <c r="G55" s="9" t="s">
        <v>281</v>
      </c>
      <c r="H55" s="27">
        <v>1</v>
      </c>
      <c r="I55" s="9" t="s">
        <v>281</v>
      </c>
      <c r="J55" s="27">
        <v>0</v>
      </c>
      <c r="K55" s="9" t="s">
        <v>281</v>
      </c>
      <c r="L55" s="27">
        <v>1</v>
      </c>
      <c r="M55" s="9" t="s">
        <v>281</v>
      </c>
      <c r="N55" s="27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7">
        <v>-1</v>
      </c>
      <c r="U55" s="27">
        <v>-1</v>
      </c>
      <c r="V55" s="27">
        <v>-1</v>
      </c>
      <c r="W55" s="27">
        <v>1</v>
      </c>
      <c r="X55" s="27">
        <v>-1</v>
      </c>
      <c r="AA55" s="9" t="s">
        <v>281</v>
      </c>
      <c r="AB55" s="27">
        <v>6</v>
      </c>
    </row>
    <row r="56" spans="1:28">
      <c r="A56" s="9" t="s">
        <v>282</v>
      </c>
      <c r="E56" s="9" t="s">
        <v>282</v>
      </c>
      <c r="F56" s="27">
        <v>0</v>
      </c>
      <c r="G56" s="9" t="s">
        <v>282</v>
      </c>
      <c r="H56" s="27">
        <v>1</v>
      </c>
      <c r="I56" s="9" t="s">
        <v>282</v>
      </c>
      <c r="J56" s="27">
        <v>0</v>
      </c>
      <c r="K56" s="9" t="s">
        <v>282</v>
      </c>
      <c r="L56" s="27">
        <v>1</v>
      </c>
      <c r="M56" s="9" t="s">
        <v>282</v>
      </c>
      <c r="N56" s="27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7">
        <v>-1</v>
      </c>
      <c r="U56" s="27">
        <v>1</v>
      </c>
      <c r="V56" s="27">
        <v>1</v>
      </c>
      <c r="W56" s="27">
        <v>1</v>
      </c>
      <c r="X56" s="27">
        <v>-1</v>
      </c>
      <c r="AA56" s="9" t="s">
        <v>282</v>
      </c>
      <c r="AB56" s="27">
        <v>6</v>
      </c>
    </row>
    <row r="57" spans="1:28">
      <c r="A57" s="9" t="s">
        <v>283</v>
      </c>
      <c r="E57" s="9" t="s">
        <v>283</v>
      </c>
      <c r="F57" s="27">
        <v>0</v>
      </c>
      <c r="G57" s="9" t="s">
        <v>283</v>
      </c>
      <c r="H57" s="27">
        <v>1</v>
      </c>
      <c r="I57" s="9" t="s">
        <v>283</v>
      </c>
      <c r="J57" s="27">
        <v>0</v>
      </c>
      <c r="K57" s="9" t="s">
        <v>283</v>
      </c>
      <c r="L57" s="27">
        <v>1</v>
      </c>
      <c r="M57" s="9" t="s">
        <v>283</v>
      </c>
      <c r="N57" s="27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7">
        <v>-1</v>
      </c>
      <c r="U57" s="27">
        <v>1</v>
      </c>
      <c r="V57" s="27">
        <v>1</v>
      </c>
      <c r="W57" s="27">
        <v>1</v>
      </c>
      <c r="X57" s="27">
        <v>-1</v>
      </c>
      <c r="AA57" s="9" t="s">
        <v>283</v>
      </c>
      <c r="AB57" s="27">
        <v>6</v>
      </c>
    </row>
    <row r="58" spans="1:28">
      <c r="A58" s="9" t="s">
        <v>284</v>
      </c>
      <c r="E58" s="9" t="s">
        <v>284</v>
      </c>
      <c r="F58" s="27">
        <v>0</v>
      </c>
      <c r="G58" s="9" t="s">
        <v>284</v>
      </c>
      <c r="H58" s="27">
        <v>1</v>
      </c>
      <c r="I58" s="9" t="s">
        <v>284</v>
      </c>
      <c r="J58" s="27">
        <v>0</v>
      </c>
      <c r="K58" s="9" t="s">
        <v>284</v>
      </c>
      <c r="L58" s="27">
        <v>1</v>
      </c>
      <c r="M58" s="9" t="s">
        <v>284</v>
      </c>
      <c r="N58" s="27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7">
        <v>-1</v>
      </c>
      <c r="U58" s="27">
        <v>1</v>
      </c>
      <c r="V58" s="27">
        <v>1</v>
      </c>
      <c r="W58" s="27">
        <v>1</v>
      </c>
      <c r="X58" s="27">
        <v>-1</v>
      </c>
      <c r="AA58" s="9" t="s">
        <v>284</v>
      </c>
      <c r="AB58" s="27">
        <v>6</v>
      </c>
    </row>
    <row r="59" spans="1:28">
      <c r="A59" s="9" t="s">
        <v>285</v>
      </c>
      <c r="E59" s="9" t="s">
        <v>285</v>
      </c>
      <c r="F59" s="27">
        <v>0</v>
      </c>
      <c r="G59" s="9" t="s">
        <v>285</v>
      </c>
      <c r="H59" s="27">
        <v>1</v>
      </c>
      <c r="I59" s="9" t="s">
        <v>285</v>
      </c>
      <c r="J59" s="27">
        <v>0</v>
      </c>
      <c r="K59" s="9" t="s">
        <v>285</v>
      </c>
      <c r="L59" s="27">
        <v>1</v>
      </c>
      <c r="M59" s="9" t="s">
        <v>285</v>
      </c>
      <c r="N59" s="27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7">
        <v>-1</v>
      </c>
      <c r="U59" s="27">
        <v>-1</v>
      </c>
      <c r="V59" s="27">
        <v>-1</v>
      </c>
      <c r="W59" s="27">
        <v>1</v>
      </c>
      <c r="X59" s="27">
        <v>-1</v>
      </c>
      <c r="AA59" s="9" t="s">
        <v>285</v>
      </c>
      <c r="AB59" s="27">
        <v>6</v>
      </c>
    </row>
    <row r="60" spans="1:28">
      <c r="A60" s="9" t="s">
        <v>286</v>
      </c>
      <c r="E60" s="9" t="s">
        <v>286</v>
      </c>
      <c r="F60" s="27">
        <v>0</v>
      </c>
      <c r="G60" s="9" t="s">
        <v>286</v>
      </c>
      <c r="H60" s="27">
        <v>1</v>
      </c>
      <c r="I60" s="9" t="s">
        <v>286</v>
      </c>
      <c r="J60" s="27">
        <v>0</v>
      </c>
      <c r="K60" s="9" t="s">
        <v>286</v>
      </c>
      <c r="L60" s="27">
        <v>1</v>
      </c>
      <c r="M60" s="9" t="s">
        <v>286</v>
      </c>
      <c r="N60" s="27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7">
        <v>-1</v>
      </c>
      <c r="U60" s="27">
        <v>1</v>
      </c>
      <c r="V60" s="27">
        <v>1</v>
      </c>
      <c r="W60" s="27">
        <v>1</v>
      </c>
      <c r="X60" s="27">
        <v>-1</v>
      </c>
      <c r="AA60" s="9" t="s">
        <v>286</v>
      </c>
      <c r="AB60" s="27">
        <v>6</v>
      </c>
    </row>
    <row r="61" spans="1:28">
      <c r="A61" s="9" t="s">
        <v>287</v>
      </c>
      <c r="E61" s="9" t="s">
        <v>287</v>
      </c>
      <c r="F61" s="27">
        <v>0</v>
      </c>
      <c r="G61" s="9" t="s">
        <v>287</v>
      </c>
      <c r="H61" s="27">
        <v>1</v>
      </c>
      <c r="I61" s="9" t="s">
        <v>287</v>
      </c>
      <c r="J61" s="27">
        <v>0</v>
      </c>
      <c r="K61" s="9" t="s">
        <v>287</v>
      </c>
      <c r="L61" s="27">
        <v>1</v>
      </c>
      <c r="M61" s="9" t="s">
        <v>287</v>
      </c>
      <c r="N61" s="27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7">
        <v>-1</v>
      </c>
      <c r="U61" s="27">
        <v>-1</v>
      </c>
      <c r="V61" s="27">
        <v>-1</v>
      </c>
      <c r="W61" s="27">
        <v>1</v>
      </c>
      <c r="X61" s="27">
        <v>-1</v>
      </c>
      <c r="AA61" s="9" t="s">
        <v>287</v>
      </c>
      <c r="AB61" s="27">
        <v>6</v>
      </c>
    </row>
    <row r="62" spans="1:28">
      <c r="A62" s="9" t="s">
        <v>288</v>
      </c>
      <c r="E62" s="9" t="s">
        <v>288</v>
      </c>
      <c r="F62" s="27">
        <v>0</v>
      </c>
      <c r="G62" s="9" t="s">
        <v>288</v>
      </c>
      <c r="H62" s="27">
        <v>1</v>
      </c>
      <c r="I62" s="9" t="s">
        <v>288</v>
      </c>
      <c r="J62" s="27">
        <v>0</v>
      </c>
      <c r="K62" s="9" t="s">
        <v>288</v>
      </c>
      <c r="L62" s="27">
        <v>1</v>
      </c>
      <c r="M62" s="9" t="s">
        <v>288</v>
      </c>
      <c r="N62" s="27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7">
        <v>-1</v>
      </c>
      <c r="U62" s="27">
        <v>-1</v>
      </c>
      <c r="V62" s="27">
        <v>-1</v>
      </c>
      <c r="W62" s="27">
        <v>1</v>
      </c>
      <c r="X62" s="27">
        <v>-1</v>
      </c>
      <c r="AA62" s="9" t="s">
        <v>288</v>
      </c>
      <c r="AB62" s="27">
        <v>6</v>
      </c>
    </row>
    <row r="63" spans="1:28">
      <c r="A63" s="9" t="s">
        <v>289</v>
      </c>
      <c r="E63" s="9" t="s">
        <v>289</v>
      </c>
      <c r="F63" s="27">
        <v>0</v>
      </c>
      <c r="G63" s="9" t="s">
        <v>289</v>
      </c>
      <c r="H63" s="27">
        <v>1</v>
      </c>
      <c r="I63" s="9" t="s">
        <v>289</v>
      </c>
      <c r="J63" s="27">
        <v>0</v>
      </c>
      <c r="K63" s="9" t="s">
        <v>289</v>
      </c>
      <c r="L63" s="27">
        <v>1</v>
      </c>
      <c r="M63" s="9" t="s">
        <v>289</v>
      </c>
      <c r="N63" s="27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7">
        <v>-1</v>
      </c>
      <c r="U63" s="27">
        <v>-1</v>
      </c>
      <c r="V63" s="27">
        <v>-1</v>
      </c>
      <c r="W63" s="27">
        <v>1</v>
      </c>
      <c r="X63" s="27">
        <v>-1</v>
      </c>
      <c r="AA63" s="9" t="s">
        <v>289</v>
      </c>
      <c r="AB63" s="27">
        <v>6</v>
      </c>
    </row>
    <row r="64" spans="1:28">
      <c r="A64" s="9" t="s">
        <v>290</v>
      </c>
      <c r="E64" s="9" t="s">
        <v>290</v>
      </c>
      <c r="F64" s="27">
        <v>0</v>
      </c>
      <c r="G64" s="9" t="s">
        <v>290</v>
      </c>
      <c r="H64" s="27">
        <v>1</v>
      </c>
      <c r="I64" s="9" t="s">
        <v>290</v>
      </c>
      <c r="J64" s="27">
        <v>0</v>
      </c>
      <c r="K64" s="9" t="s">
        <v>290</v>
      </c>
      <c r="L64" s="27">
        <v>1</v>
      </c>
      <c r="M64" s="9" t="s">
        <v>290</v>
      </c>
      <c r="N64" s="27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7">
        <v>-1</v>
      </c>
      <c r="U64" s="27">
        <v>1</v>
      </c>
      <c r="V64" s="27">
        <v>1</v>
      </c>
      <c r="W64" s="27">
        <v>1</v>
      </c>
      <c r="X64" s="27">
        <v>-1</v>
      </c>
      <c r="AA64" s="9" t="s">
        <v>290</v>
      </c>
      <c r="AB64" s="27">
        <v>6</v>
      </c>
    </row>
    <row r="65" spans="1:28">
      <c r="A65" s="9" t="s">
        <v>291</v>
      </c>
      <c r="E65" s="9" t="s">
        <v>291</v>
      </c>
      <c r="F65" s="27">
        <v>0</v>
      </c>
      <c r="G65" s="9" t="s">
        <v>291</v>
      </c>
      <c r="H65" s="27">
        <v>1</v>
      </c>
      <c r="I65" s="9" t="s">
        <v>291</v>
      </c>
      <c r="J65" s="27">
        <v>0</v>
      </c>
      <c r="K65" s="9" t="s">
        <v>291</v>
      </c>
      <c r="L65" s="27">
        <v>1</v>
      </c>
      <c r="M65" s="9" t="s">
        <v>291</v>
      </c>
      <c r="N65" s="27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7">
        <v>-1</v>
      </c>
      <c r="U65" s="27">
        <v>1</v>
      </c>
      <c r="V65" s="27">
        <v>1</v>
      </c>
      <c r="W65" s="27">
        <v>1</v>
      </c>
      <c r="X65" s="27">
        <v>-1</v>
      </c>
      <c r="AA65" s="9" t="s">
        <v>291</v>
      </c>
      <c r="AB65" s="27">
        <v>6</v>
      </c>
    </row>
    <row r="66" spans="1:28">
      <c r="A66" s="9" t="s">
        <v>292</v>
      </c>
      <c r="E66" s="9" t="s">
        <v>292</v>
      </c>
      <c r="F66" s="27">
        <v>0</v>
      </c>
      <c r="G66" s="9" t="s">
        <v>292</v>
      </c>
      <c r="H66" s="27">
        <v>1</v>
      </c>
      <c r="I66" s="9" t="s">
        <v>292</v>
      </c>
      <c r="J66" s="27">
        <v>0</v>
      </c>
      <c r="K66" s="9" t="s">
        <v>292</v>
      </c>
      <c r="L66" s="27">
        <v>1</v>
      </c>
      <c r="M66" s="9" t="s">
        <v>292</v>
      </c>
      <c r="N66" s="27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7">
        <v>-1</v>
      </c>
      <c r="U66" s="27">
        <v>1</v>
      </c>
      <c r="V66" s="27">
        <v>1</v>
      </c>
      <c r="W66" s="27">
        <v>1</v>
      </c>
      <c r="X66" s="27">
        <v>-1</v>
      </c>
      <c r="AA66" s="9" t="s">
        <v>292</v>
      </c>
      <c r="AB66" s="27">
        <v>6</v>
      </c>
    </row>
    <row r="67" spans="1:28">
      <c r="A67" s="9" t="s">
        <v>293</v>
      </c>
      <c r="E67" s="9" t="s">
        <v>293</v>
      </c>
      <c r="F67" s="27">
        <v>0</v>
      </c>
      <c r="G67" s="9" t="s">
        <v>293</v>
      </c>
      <c r="H67" s="27">
        <v>1</v>
      </c>
      <c r="I67" s="9" t="s">
        <v>293</v>
      </c>
      <c r="J67" s="27">
        <v>0</v>
      </c>
      <c r="K67" s="9" t="s">
        <v>293</v>
      </c>
      <c r="L67" s="27">
        <v>1</v>
      </c>
      <c r="M67" s="9" t="s">
        <v>293</v>
      </c>
      <c r="N67" s="27">
        <v>1</v>
      </c>
      <c r="O67" t="s">
        <v>293</v>
      </c>
      <c r="P67" t="s">
        <v>233</v>
      </c>
      <c r="Q67" t="s">
        <v>293</v>
      </c>
      <c r="R67" t="s">
        <v>30</v>
      </c>
      <c r="S67" s="9" t="s">
        <v>293</v>
      </c>
      <c r="T67" s="27">
        <v>-1</v>
      </c>
      <c r="U67" s="27">
        <v>-1</v>
      </c>
      <c r="V67" s="27">
        <v>-1</v>
      </c>
      <c r="W67" s="27">
        <v>1</v>
      </c>
      <c r="X67" s="27">
        <v>-1</v>
      </c>
      <c r="AA67" s="9" t="s">
        <v>293</v>
      </c>
      <c r="AB67" s="27">
        <v>6.5</v>
      </c>
    </row>
    <row r="68" spans="1:28">
      <c r="A68" s="9" t="s">
        <v>294</v>
      </c>
      <c r="E68" s="9" t="s">
        <v>294</v>
      </c>
      <c r="F68" s="27">
        <v>0</v>
      </c>
      <c r="G68" s="9" t="s">
        <v>294</v>
      </c>
      <c r="H68" s="27">
        <v>1</v>
      </c>
      <c r="I68" s="9" t="s">
        <v>294</v>
      </c>
      <c r="J68" s="27">
        <v>0</v>
      </c>
      <c r="K68" s="9" t="s">
        <v>294</v>
      </c>
      <c r="L68" s="27">
        <v>1</v>
      </c>
      <c r="M68" s="9" t="s">
        <v>294</v>
      </c>
      <c r="N68" s="27">
        <v>1</v>
      </c>
      <c r="O68" t="s">
        <v>294</v>
      </c>
      <c r="P68" t="s">
        <v>316</v>
      </c>
      <c r="Q68" t="s">
        <v>294</v>
      </c>
      <c r="R68" t="s">
        <v>30</v>
      </c>
      <c r="S68" s="9" t="s">
        <v>294</v>
      </c>
      <c r="T68" s="27">
        <v>-1</v>
      </c>
      <c r="U68" s="27">
        <v>-1</v>
      </c>
      <c r="V68" s="27">
        <v>-1</v>
      </c>
      <c r="W68" s="27">
        <v>1</v>
      </c>
      <c r="X68" s="27">
        <v>-1</v>
      </c>
      <c r="AA68" s="9" t="s">
        <v>294</v>
      </c>
      <c r="AB68" s="27">
        <v>6.5</v>
      </c>
    </row>
    <row r="69" spans="1:28">
      <c r="A69" s="9" t="s">
        <v>295</v>
      </c>
      <c r="E69" s="9" t="s">
        <v>295</v>
      </c>
      <c r="F69" s="27">
        <v>0</v>
      </c>
      <c r="G69" s="9" t="s">
        <v>295</v>
      </c>
      <c r="H69" s="27">
        <v>1</v>
      </c>
      <c r="I69" s="9" t="s">
        <v>295</v>
      </c>
      <c r="J69" s="27">
        <v>0</v>
      </c>
      <c r="K69" s="9" t="s">
        <v>295</v>
      </c>
      <c r="L69" s="27">
        <v>1</v>
      </c>
      <c r="M69" s="9" t="s">
        <v>295</v>
      </c>
      <c r="N69" s="27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7">
        <v>-1</v>
      </c>
      <c r="U69" s="27">
        <v>-1</v>
      </c>
      <c r="V69" s="27">
        <v>-1</v>
      </c>
      <c r="W69" s="27">
        <v>1</v>
      </c>
      <c r="X69" s="27">
        <v>-1</v>
      </c>
      <c r="AA69" s="9" t="s">
        <v>295</v>
      </c>
      <c r="AB69" s="27">
        <v>6.5</v>
      </c>
    </row>
    <row r="70" spans="1:28">
      <c r="A70" s="9" t="s">
        <v>296</v>
      </c>
      <c r="E70" s="9" t="s">
        <v>296</v>
      </c>
      <c r="F70" s="27">
        <v>0</v>
      </c>
      <c r="G70" s="9" t="s">
        <v>296</v>
      </c>
      <c r="H70" s="27">
        <v>1</v>
      </c>
      <c r="I70" s="9" t="s">
        <v>296</v>
      </c>
      <c r="J70" s="27">
        <v>0</v>
      </c>
      <c r="K70" s="9" t="s">
        <v>296</v>
      </c>
      <c r="L70" s="27">
        <v>1</v>
      </c>
      <c r="M70" s="9" t="s">
        <v>296</v>
      </c>
      <c r="N70" s="27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7">
        <v>-1</v>
      </c>
      <c r="U70" s="27">
        <v>-1</v>
      </c>
      <c r="V70" s="27">
        <v>-1</v>
      </c>
      <c r="W70" s="27">
        <v>1</v>
      </c>
      <c r="X70" s="27">
        <v>-1</v>
      </c>
      <c r="AA70" s="9" t="s">
        <v>296</v>
      </c>
      <c r="AB70" s="27">
        <v>6.5</v>
      </c>
    </row>
    <row r="71" spans="1:28">
      <c r="A71" s="9" t="s">
        <v>297</v>
      </c>
      <c r="E71" s="9" t="s">
        <v>297</v>
      </c>
      <c r="F71" s="27">
        <v>0</v>
      </c>
      <c r="G71" s="9" t="s">
        <v>297</v>
      </c>
      <c r="H71" s="27">
        <v>1</v>
      </c>
      <c r="I71" s="9" t="s">
        <v>297</v>
      </c>
      <c r="J71" s="27">
        <v>0</v>
      </c>
      <c r="K71" s="9" t="s">
        <v>297</v>
      </c>
      <c r="L71" s="27">
        <v>1</v>
      </c>
      <c r="M71" s="9" t="s">
        <v>297</v>
      </c>
      <c r="N71" s="27">
        <v>1</v>
      </c>
      <c r="O71" t="s">
        <v>297</v>
      </c>
      <c r="P71" t="s">
        <v>321</v>
      </c>
      <c r="Q71" t="s">
        <v>297</v>
      </c>
      <c r="R71" t="s">
        <v>30</v>
      </c>
      <c r="S71" s="9" t="s">
        <v>297</v>
      </c>
      <c r="T71" s="27">
        <v>-1</v>
      </c>
      <c r="U71" s="27">
        <v>-1</v>
      </c>
      <c r="V71" s="27">
        <v>-1</v>
      </c>
      <c r="W71" s="27">
        <v>1</v>
      </c>
      <c r="X71" s="27">
        <v>-1</v>
      </c>
      <c r="AA71" s="9" t="s">
        <v>297</v>
      </c>
      <c r="AB71" s="27">
        <v>6.5</v>
      </c>
    </row>
    <row r="72" spans="1:28">
      <c r="A72" s="9" t="s">
        <v>298</v>
      </c>
      <c r="E72" s="9" t="s">
        <v>298</v>
      </c>
      <c r="F72" s="27">
        <v>0</v>
      </c>
      <c r="G72" s="9" t="s">
        <v>298</v>
      </c>
      <c r="H72" s="27">
        <v>1</v>
      </c>
      <c r="I72" s="9" t="s">
        <v>298</v>
      </c>
      <c r="J72" s="27">
        <v>0</v>
      </c>
      <c r="K72" s="9" t="s">
        <v>298</v>
      </c>
      <c r="L72" s="27">
        <v>1</v>
      </c>
      <c r="M72" s="9" t="s">
        <v>298</v>
      </c>
      <c r="N72" s="27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7">
        <v>-1</v>
      </c>
      <c r="U72" s="27">
        <v>-1</v>
      </c>
      <c r="V72" s="27">
        <v>-1</v>
      </c>
      <c r="W72" s="27">
        <v>1</v>
      </c>
      <c r="X72" s="27">
        <v>-1</v>
      </c>
      <c r="AA72" s="9" t="s">
        <v>298</v>
      </c>
      <c r="AB72" s="27">
        <v>6.5</v>
      </c>
    </row>
    <row r="73" spans="1:28">
      <c r="A73" s="9" t="s">
        <v>299</v>
      </c>
      <c r="E73" s="9" t="s">
        <v>299</v>
      </c>
      <c r="F73" s="27">
        <v>0</v>
      </c>
      <c r="G73" s="9" t="s">
        <v>299</v>
      </c>
      <c r="H73" s="27">
        <v>1</v>
      </c>
      <c r="I73" s="9" t="s">
        <v>299</v>
      </c>
      <c r="J73" s="27">
        <v>0</v>
      </c>
      <c r="K73" s="9" t="s">
        <v>299</v>
      </c>
      <c r="L73" s="27">
        <v>1</v>
      </c>
      <c r="M73" s="9" t="s">
        <v>299</v>
      </c>
      <c r="N73" s="27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7">
        <v>-1</v>
      </c>
      <c r="U73" s="27">
        <v>-1</v>
      </c>
      <c r="V73" s="27">
        <v>-1</v>
      </c>
      <c r="W73" s="27">
        <v>1</v>
      </c>
      <c r="X73" s="27">
        <v>-1</v>
      </c>
      <c r="AA73" s="9" t="s">
        <v>299</v>
      </c>
      <c r="AB73" s="27">
        <v>6.5</v>
      </c>
    </row>
    <row r="74" spans="1:28">
      <c r="A74" s="9" t="s">
        <v>300</v>
      </c>
      <c r="E74" s="9" t="s">
        <v>300</v>
      </c>
      <c r="F74" s="27">
        <v>0</v>
      </c>
      <c r="G74" s="9" t="s">
        <v>300</v>
      </c>
      <c r="H74" s="27">
        <v>1</v>
      </c>
      <c r="I74" s="9" t="s">
        <v>300</v>
      </c>
      <c r="J74" s="27">
        <v>0</v>
      </c>
      <c r="K74" s="9" t="s">
        <v>300</v>
      </c>
      <c r="L74" s="27">
        <v>1</v>
      </c>
      <c r="M74" s="9" t="s">
        <v>300</v>
      </c>
      <c r="N74" s="27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7">
        <v>-1</v>
      </c>
      <c r="U74" s="27">
        <v>1</v>
      </c>
      <c r="V74" s="27">
        <v>1</v>
      </c>
      <c r="W74" s="27">
        <v>1</v>
      </c>
      <c r="X74" s="27">
        <v>-1</v>
      </c>
      <c r="AA74" s="9" t="s">
        <v>300</v>
      </c>
      <c r="AB74" s="27">
        <v>6.5</v>
      </c>
    </row>
    <row r="75" spans="1:28">
      <c r="A75" s="9" t="s">
        <v>301</v>
      </c>
      <c r="E75" s="9" t="s">
        <v>301</v>
      </c>
      <c r="F75" s="27">
        <v>0</v>
      </c>
      <c r="G75" s="9" t="s">
        <v>301</v>
      </c>
      <c r="H75" s="27">
        <v>1</v>
      </c>
      <c r="I75" s="9" t="s">
        <v>301</v>
      </c>
      <c r="J75" s="27">
        <v>0</v>
      </c>
      <c r="K75" s="9" t="s">
        <v>301</v>
      </c>
      <c r="L75" s="27">
        <v>1</v>
      </c>
      <c r="M75" s="9" t="s">
        <v>301</v>
      </c>
      <c r="N75" s="27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7">
        <v>-1</v>
      </c>
      <c r="U75" s="27">
        <v>1</v>
      </c>
      <c r="V75" s="27">
        <v>1</v>
      </c>
      <c r="W75" s="27">
        <v>1</v>
      </c>
      <c r="X75" s="27">
        <v>-1</v>
      </c>
      <c r="AA75" s="9" t="s">
        <v>301</v>
      </c>
      <c r="AB75" s="27">
        <v>6.5</v>
      </c>
    </row>
    <row r="76" spans="1:28">
      <c r="A76" s="9" t="s">
        <v>302</v>
      </c>
      <c r="E76" s="9" t="s">
        <v>302</v>
      </c>
      <c r="F76" s="27">
        <v>0</v>
      </c>
      <c r="G76" s="9" t="s">
        <v>302</v>
      </c>
      <c r="H76" s="27">
        <v>1</v>
      </c>
      <c r="I76" s="9" t="s">
        <v>302</v>
      </c>
      <c r="J76" s="27">
        <v>0</v>
      </c>
      <c r="K76" s="9" t="s">
        <v>302</v>
      </c>
      <c r="L76" s="27">
        <v>1</v>
      </c>
      <c r="M76" s="9" t="s">
        <v>302</v>
      </c>
      <c r="N76" s="27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7">
        <v>-1</v>
      </c>
      <c r="U76" s="27">
        <v>1</v>
      </c>
      <c r="V76" s="27">
        <v>1</v>
      </c>
      <c r="W76" s="27">
        <v>1</v>
      </c>
      <c r="X76" s="27">
        <v>-1</v>
      </c>
      <c r="AA76" s="9" t="s">
        <v>302</v>
      </c>
      <c r="AB76" s="27">
        <v>6.5</v>
      </c>
    </row>
    <row r="77" spans="1:28">
      <c r="A77" s="9" t="s">
        <v>303</v>
      </c>
      <c r="E77" s="9" t="s">
        <v>303</v>
      </c>
      <c r="F77" s="27">
        <v>0</v>
      </c>
      <c r="G77" s="9" t="s">
        <v>303</v>
      </c>
      <c r="H77" s="27">
        <v>1</v>
      </c>
      <c r="I77" s="9" t="s">
        <v>303</v>
      </c>
      <c r="J77" s="27">
        <v>0</v>
      </c>
      <c r="K77" s="9" t="s">
        <v>303</v>
      </c>
      <c r="L77" s="27">
        <v>1</v>
      </c>
      <c r="M77" s="9" t="s">
        <v>303</v>
      </c>
      <c r="N77" s="27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7">
        <v>-1</v>
      </c>
      <c r="U77" s="27">
        <v>-1</v>
      </c>
      <c r="V77" s="27">
        <v>-1</v>
      </c>
      <c r="W77" s="27">
        <v>1</v>
      </c>
      <c r="X77" s="27">
        <v>-1</v>
      </c>
      <c r="AA77" s="9" t="s">
        <v>303</v>
      </c>
      <c r="AB77" s="27">
        <v>6.5</v>
      </c>
    </row>
    <row r="78" spans="1:28">
      <c r="A78" s="9" t="s">
        <v>304</v>
      </c>
      <c r="E78" s="9" t="s">
        <v>304</v>
      </c>
      <c r="F78" s="27">
        <v>0</v>
      </c>
      <c r="G78" s="9" t="s">
        <v>304</v>
      </c>
      <c r="H78" s="27">
        <v>1</v>
      </c>
      <c r="I78" s="9" t="s">
        <v>304</v>
      </c>
      <c r="J78" s="27">
        <v>0</v>
      </c>
      <c r="K78" s="9" t="s">
        <v>304</v>
      </c>
      <c r="L78" s="27">
        <v>1</v>
      </c>
      <c r="M78" s="9" t="s">
        <v>304</v>
      </c>
      <c r="N78" s="27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7">
        <v>-1</v>
      </c>
      <c r="U78" s="27">
        <v>1</v>
      </c>
      <c r="V78" s="27">
        <v>1</v>
      </c>
      <c r="W78" s="27">
        <v>1</v>
      </c>
      <c r="X78" s="27">
        <v>-1</v>
      </c>
      <c r="AA78" s="9" t="s">
        <v>304</v>
      </c>
      <c r="AB78" s="27">
        <v>6.5</v>
      </c>
    </row>
    <row r="79" spans="1:28">
      <c r="A79" s="9" t="s">
        <v>305</v>
      </c>
      <c r="E79" s="9" t="s">
        <v>305</v>
      </c>
      <c r="F79" s="27">
        <v>0</v>
      </c>
      <c r="G79" s="9" t="s">
        <v>305</v>
      </c>
      <c r="H79" s="27">
        <v>1</v>
      </c>
      <c r="I79" s="9" t="s">
        <v>305</v>
      </c>
      <c r="J79" s="27">
        <v>0</v>
      </c>
      <c r="K79" s="9" t="s">
        <v>305</v>
      </c>
      <c r="L79" s="27">
        <v>1</v>
      </c>
      <c r="M79" s="9" t="s">
        <v>305</v>
      </c>
      <c r="N79" s="27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7">
        <v>-1</v>
      </c>
      <c r="U79" s="27">
        <v>-1</v>
      </c>
      <c r="V79" s="27">
        <v>-1</v>
      </c>
      <c r="W79" s="27">
        <v>1</v>
      </c>
      <c r="X79" s="27">
        <v>-1</v>
      </c>
      <c r="AA79" s="9" t="s">
        <v>305</v>
      </c>
      <c r="AB79" s="27">
        <v>6.5</v>
      </c>
    </row>
    <row r="80" spans="1:28">
      <c r="A80" s="9" t="s">
        <v>306</v>
      </c>
      <c r="E80" s="9" t="s">
        <v>306</v>
      </c>
      <c r="F80" s="27">
        <v>0</v>
      </c>
      <c r="G80" s="9" t="s">
        <v>306</v>
      </c>
      <c r="H80" s="27">
        <v>1</v>
      </c>
      <c r="I80" s="9" t="s">
        <v>306</v>
      </c>
      <c r="J80" s="27">
        <v>0</v>
      </c>
      <c r="K80" s="9" t="s">
        <v>306</v>
      </c>
      <c r="L80" s="27">
        <v>1</v>
      </c>
      <c r="M80" s="9" t="s">
        <v>306</v>
      </c>
      <c r="N80" s="27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7">
        <v>-1</v>
      </c>
      <c r="U80" s="27">
        <v>-1</v>
      </c>
      <c r="V80" s="27">
        <v>-1</v>
      </c>
      <c r="W80" s="27">
        <v>1</v>
      </c>
      <c r="X80" s="27">
        <v>-1</v>
      </c>
      <c r="AA80" s="9" t="s">
        <v>306</v>
      </c>
      <c r="AB80" s="27">
        <v>6.5</v>
      </c>
    </row>
    <row r="81" spans="1:28">
      <c r="A81" s="9" t="s">
        <v>307</v>
      </c>
      <c r="E81" s="9" t="s">
        <v>307</v>
      </c>
      <c r="F81" s="27">
        <v>0</v>
      </c>
      <c r="G81" s="9" t="s">
        <v>307</v>
      </c>
      <c r="H81" s="27">
        <v>1</v>
      </c>
      <c r="I81" s="9" t="s">
        <v>307</v>
      </c>
      <c r="J81" s="27">
        <v>0</v>
      </c>
      <c r="K81" s="9" t="s">
        <v>307</v>
      </c>
      <c r="L81" s="27">
        <v>1</v>
      </c>
      <c r="M81" s="9" t="s">
        <v>307</v>
      </c>
      <c r="N81" s="27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7">
        <v>-1</v>
      </c>
      <c r="U81" s="27">
        <v>-1</v>
      </c>
      <c r="V81" s="27">
        <v>-1</v>
      </c>
      <c r="W81" s="27">
        <v>1</v>
      </c>
      <c r="X81" s="27">
        <v>-1</v>
      </c>
      <c r="AA81" s="9" t="s">
        <v>307</v>
      </c>
      <c r="AB81" s="27">
        <v>6.5</v>
      </c>
    </row>
    <row r="82" spans="1:28">
      <c r="A82" s="9" t="s">
        <v>308</v>
      </c>
      <c r="E82" s="9" t="s">
        <v>308</v>
      </c>
      <c r="F82" s="27">
        <v>0</v>
      </c>
      <c r="G82" s="9" t="s">
        <v>308</v>
      </c>
      <c r="H82" s="27">
        <v>1</v>
      </c>
      <c r="I82" s="9" t="s">
        <v>308</v>
      </c>
      <c r="J82" s="27">
        <v>0</v>
      </c>
      <c r="K82" s="9" t="s">
        <v>308</v>
      </c>
      <c r="L82" s="27">
        <v>1</v>
      </c>
      <c r="M82" s="9" t="s">
        <v>308</v>
      </c>
      <c r="N82" s="27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7">
        <v>-1</v>
      </c>
      <c r="U82" s="27">
        <v>1</v>
      </c>
      <c r="V82" s="27">
        <v>1</v>
      </c>
      <c r="W82" s="27">
        <v>1</v>
      </c>
      <c r="X82" s="27">
        <v>-1</v>
      </c>
      <c r="AA82" s="9" t="s">
        <v>308</v>
      </c>
      <c r="AB82" s="27">
        <v>6.5</v>
      </c>
    </row>
    <row r="83" spans="1:28">
      <c r="A83" s="9" t="s">
        <v>309</v>
      </c>
      <c r="E83" s="9" t="s">
        <v>309</v>
      </c>
      <c r="F83" s="27">
        <v>0</v>
      </c>
      <c r="G83" s="9" t="s">
        <v>309</v>
      </c>
      <c r="H83" s="27">
        <v>1</v>
      </c>
      <c r="I83" s="9" t="s">
        <v>309</v>
      </c>
      <c r="J83" s="27">
        <v>0</v>
      </c>
      <c r="K83" s="9" t="s">
        <v>309</v>
      </c>
      <c r="L83" s="27">
        <v>1</v>
      </c>
      <c r="M83" s="9" t="s">
        <v>309</v>
      </c>
      <c r="N83" s="27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7">
        <v>-1</v>
      </c>
      <c r="U83" s="27">
        <v>1</v>
      </c>
      <c r="V83" s="27">
        <v>1</v>
      </c>
      <c r="W83" s="27">
        <v>1</v>
      </c>
      <c r="X83" s="27">
        <v>-1</v>
      </c>
      <c r="AA83" s="9" t="s">
        <v>309</v>
      </c>
      <c r="AB83" s="27">
        <v>6.5</v>
      </c>
    </row>
    <row r="84" spans="1:28">
      <c r="A84" s="9" t="s">
        <v>310</v>
      </c>
      <c r="E84" s="9" t="s">
        <v>310</v>
      </c>
      <c r="F84" s="27">
        <v>0</v>
      </c>
      <c r="G84" s="9" t="s">
        <v>310</v>
      </c>
      <c r="H84" s="27">
        <v>1</v>
      </c>
      <c r="I84" s="9" t="s">
        <v>310</v>
      </c>
      <c r="J84" s="27">
        <v>0</v>
      </c>
      <c r="K84" s="9" t="s">
        <v>310</v>
      </c>
      <c r="L84" s="27">
        <v>1</v>
      </c>
      <c r="M84" s="9" t="s">
        <v>310</v>
      </c>
      <c r="N84" s="27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7">
        <v>-1</v>
      </c>
      <c r="U84" s="27">
        <v>1</v>
      </c>
      <c r="V84" s="27">
        <v>1</v>
      </c>
      <c r="W84" s="27">
        <v>1</v>
      </c>
      <c r="X84" s="27">
        <v>-1</v>
      </c>
      <c r="AA84" s="9" t="s">
        <v>310</v>
      </c>
      <c r="AB84" s="27">
        <v>6.5</v>
      </c>
    </row>
    <row r="85" spans="1:28">
      <c r="A85" s="9" t="s">
        <v>336</v>
      </c>
      <c r="E85" s="9" t="s">
        <v>336</v>
      </c>
      <c r="F85" s="27">
        <v>0</v>
      </c>
      <c r="G85" s="9" t="s">
        <v>336</v>
      </c>
      <c r="H85" s="27">
        <v>0</v>
      </c>
      <c r="I85" s="9" t="s">
        <v>336</v>
      </c>
      <c r="J85" s="27">
        <v>1</v>
      </c>
      <c r="K85" s="9" t="s">
        <v>336</v>
      </c>
      <c r="L85" s="27">
        <v>1</v>
      </c>
      <c r="M85" s="9" t="s">
        <v>336</v>
      </c>
      <c r="N85" s="27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 s="27">
        <v>-1</v>
      </c>
      <c r="U85" s="27">
        <v>-1</v>
      </c>
      <c r="V85" s="27">
        <v>-1</v>
      </c>
      <c r="W85" s="27">
        <v>1</v>
      </c>
      <c r="X85" s="27">
        <v>-1</v>
      </c>
      <c r="AA85" s="9" t="s">
        <v>336</v>
      </c>
      <c r="AB85" s="27">
        <v>9.9</v>
      </c>
    </row>
    <row r="86" spans="1:28">
      <c r="A86" s="9" t="s">
        <v>342</v>
      </c>
      <c r="E86" s="9" t="s">
        <v>342</v>
      </c>
      <c r="F86" s="27">
        <v>1</v>
      </c>
      <c r="G86" s="9" t="s">
        <v>342</v>
      </c>
      <c r="H86" s="27">
        <v>1</v>
      </c>
      <c r="I86" s="9" t="s">
        <v>342</v>
      </c>
      <c r="J86" s="27">
        <v>0</v>
      </c>
      <c r="K86" s="9" t="s">
        <v>342</v>
      </c>
      <c r="L86" s="27">
        <v>1</v>
      </c>
      <c r="M86" s="9" t="s">
        <v>342</v>
      </c>
      <c r="N86" s="27">
        <v>1</v>
      </c>
      <c r="O86" t="s">
        <v>342</v>
      </c>
      <c r="P86" t="s">
        <v>357</v>
      </c>
      <c r="Q86" t="s">
        <v>342</v>
      </c>
      <c r="R86" t="s">
        <v>30</v>
      </c>
      <c r="S86" s="9" t="s">
        <v>342</v>
      </c>
      <c r="T86" s="27">
        <v>-1</v>
      </c>
      <c r="U86" s="27">
        <v>-1</v>
      </c>
      <c r="V86" s="27">
        <v>-1</v>
      </c>
      <c r="W86" s="27">
        <v>1</v>
      </c>
      <c r="X86" s="27">
        <v>-1</v>
      </c>
      <c r="AA86" s="9" t="s">
        <v>342</v>
      </c>
      <c r="AB86" s="27">
        <v>12</v>
      </c>
    </row>
    <row r="87" spans="1:28">
      <c r="A87" s="9" t="s">
        <v>343</v>
      </c>
      <c r="E87" s="9" t="s">
        <v>343</v>
      </c>
      <c r="F87" s="27">
        <v>0</v>
      </c>
      <c r="G87" s="9" t="s">
        <v>343</v>
      </c>
      <c r="H87" s="27">
        <v>1</v>
      </c>
      <c r="I87" s="9" t="s">
        <v>343</v>
      </c>
      <c r="J87" s="27">
        <v>0</v>
      </c>
      <c r="K87" s="9" t="s">
        <v>343</v>
      </c>
      <c r="L87" s="27">
        <v>1</v>
      </c>
      <c r="M87" s="9" t="s">
        <v>343</v>
      </c>
      <c r="N87" s="27">
        <v>1</v>
      </c>
      <c r="O87" t="s">
        <v>343</v>
      </c>
      <c r="P87" t="s">
        <v>233</v>
      </c>
      <c r="Q87" t="s">
        <v>343</v>
      </c>
      <c r="R87" t="s">
        <v>30</v>
      </c>
      <c r="S87" s="9" t="s">
        <v>343</v>
      </c>
      <c r="T87" s="27">
        <v>-1</v>
      </c>
      <c r="U87" s="27">
        <v>-1</v>
      </c>
      <c r="V87" s="27">
        <v>-1</v>
      </c>
      <c r="W87" s="27">
        <v>1</v>
      </c>
      <c r="X87" s="27">
        <v>-1</v>
      </c>
      <c r="AA87" s="9" t="s">
        <v>343</v>
      </c>
      <c r="AB87" s="27">
        <v>7.000327102810413</v>
      </c>
    </row>
    <row r="88" spans="1:28">
      <c r="A88" s="9" t="s">
        <v>344</v>
      </c>
      <c r="E88" s="9" t="s">
        <v>344</v>
      </c>
      <c r="F88" s="27">
        <v>0</v>
      </c>
      <c r="G88" s="9" t="s">
        <v>344</v>
      </c>
      <c r="H88" s="27">
        <v>1</v>
      </c>
      <c r="I88" s="9" t="s">
        <v>344</v>
      </c>
      <c r="J88" s="27">
        <v>0</v>
      </c>
      <c r="K88" s="9" t="s">
        <v>344</v>
      </c>
      <c r="L88" s="27">
        <v>1</v>
      </c>
      <c r="M88" s="9" t="s">
        <v>344</v>
      </c>
      <c r="N88" s="27">
        <v>1</v>
      </c>
      <c r="O88" t="s">
        <v>344</v>
      </c>
      <c r="P88" t="s">
        <v>233</v>
      </c>
      <c r="Q88" t="s">
        <v>344</v>
      </c>
      <c r="R88" t="s">
        <v>30</v>
      </c>
      <c r="S88" s="9" t="s">
        <v>344</v>
      </c>
      <c r="T88" s="27">
        <v>-1</v>
      </c>
      <c r="U88" s="27">
        <v>-1</v>
      </c>
      <c r="V88" s="27">
        <v>-1</v>
      </c>
      <c r="W88" s="27">
        <v>1</v>
      </c>
      <c r="X88" s="27">
        <v>-1</v>
      </c>
      <c r="AA88" s="9" t="s">
        <v>344</v>
      </c>
      <c r="AB88" s="27">
        <v>6.000327102810413</v>
      </c>
    </row>
    <row r="89" spans="1:28">
      <c r="A89" s="9" t="s">
        <v>347</v>
      </c>
      <c r="E89" s="9" t="s">
        <v>347</v>
      </c>
      <c r="F89" s="27">
        <v>0</v>
      </c>
      <c r="G89" s="9" t="s">
        <v>347</v>
      </c>
      <c r="H89" s="27">
        <v>0</v>
      </c>
      <c r="I89" s="9" t="s">
        <v>347</v>
      </c>
      <c r="J89" s="27">
        <v>0</v>
      </c>
      <c r="K89" s="9" t="s">
        <v>347</v>
      </c>
      <c r="L89" s="27">
        <v>1</v>
      </c>
      <c r="M89" s="9" t="s">
        <v>347</v>
      </c>
      <c r="N89" s="27">
        <v>1</v>
      </c>
      <c r="O89" t="s">
        <v>347</v>
      </c>
      <c r="P89" t="s">
        <v>345</v>
      </c>
      <c r="Q89" t="s">
        <v>347</v>
      </c>
      <c r="R89" t="s">
        <v>30</v>
      </c>
      <c r="S89" s="9" t="s">
        <v>347</v>
      </c>
      <c r="T89" s="27">
        <v>-1</v>
      </c>
      <c r="U89" s="27">
        <v>-1</v>
      </c>
      <c r="V89" s="27">
        <v>-1</v>
      </c>
      <c r="W89" s="27">
        <v>1</v>
      </c>
      <c r="X89" s="27">
        <v>-1</v>
      </c>
      <c r="AA89" s="9" t="s">
        <v>347</v>
      </c>
      <c r="AB89" s="27">
        <v>7.000327102810413</v>
      </c>
    </row>
    <row r="90" spans="1:28">
      <c r="A90" s="9" t="s">
        <v>348</v>
      </c>
      <c r="E90" s="9" t="s">
        <v>348</v>
      </c>
      <c r="F90" s="27">
        <v>0</v>
      </c>
      <c r="G90" s="9" t="s">
        <v>348</v>
      </c>
      <c r="H90" s="27">
        <v>0</v>
      </c>
      <c r="I90" s="9" t="s">
        <v>348</v>
      </c>
      <c r="J90" s="27">
        <v>0</v>
      </c>
      <c r="K90" s="9" t="s">
        <v>348</v>
      </c>
      <c r="L90" s="27">
        <v>1</v>
      </c>
      <c r="M90" s="9" t="s">
        <v>348</v>
      </c>
      <c r="N90" s="27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 s="27">
        <v>-1</v>
      </c>
      <c r="U90" s="27">
        <v>-1</v>
      </c>
      <c r="V90" s="27">
        <v>-1</v>
      </c>
      <c r="W90" s="27">
        <v>1</v>
      </c>
      <c r="X90" s="27">
        <v>-1</v>
      </c>
      <c r="AA90" s="9" t="s">
        <v>348</v>
      </c>
      <c r="AB90" s="27">
        <v>7.000327102810413</v>
      </c>
    </row>
    <row r="91" spans="1:28">
      <c r="A91" s="9" t="s">
        <v>350</v>
      </c>
      <c r="E91" s="9" t="s">
        <v>350</v>
      </c>
      <c r="F91" s="27">
        <v>0</v>
      </c>
      <c r="G91" s="9" t="s">
        <v>350</v>
      </c>
      <c r="H91" s="27">
        <v>0</v>
      </c>
      <c r="I91" s="9" t="s">
        <v>350</v>
      </c>
      <c r="J91" s="27">
        <v>0</v>
      </c>
      <c r="K91" s="9" t="s">
        <v>350</v>
      </c>
      <c r="L91" s="27">
        <v>1</v>
      </c>
      <c r="M91" s="9" t="s">
        <v>350</v>
      </c>
      <c r="N91" s="27">
        <v>1</v>
      </c>
      <c r="O91" t="s">
        <v>350</v>
      </c>
      <c r="P91" t="s">
        <v>349</v>
      </c>
      <c r="Q91" t="s">
        <v>350</v>
      </c>
      <c r="R91" t="s">
        <v>30</v>
      </c>
      <c r="S91" s="9" t="s">
        <v>350</v>
      </c>
      <c r="T91" s="27">
        <v>-1</v>
      </c>
      <c r="U91" s="27">
        <v>-1</v>
      </c>
      <c r="V91" s="27">
        <v>-1</v>
      </c>
      <c r="W91" s="27">
        <v>1</v>
      </c>
      <c r="X91" s="27">
        <v>-1</v>
      </c>
      <c r="AA91" s="9" t="s">
        <v>350</v>
      </c>
      <c r="AB91" s="27">
        <v>7.000327102810413</v>
      </c>
    </row>
    <row r="92" spans="1:28">
      <c r="A92" s="9" t="s">
        <v>351</v>
      </c>
      <c r="E92" s="9" t="s">
        <v>351</v>
      </c>
      <c r="F92" s="27">
        <v>0</v>
      </c>
      <c r="G92" s="9" t="s">
        <v>351</v>
      </c>
      <c r="H92" s="27">
        <v>1</v>
      </c>
      <c r="I92" s="9" t="s">
        <v>351</v>
      </c>
      <c r="J92" s="27">
        <v>0</v>
      </c>
      <c r="K92" s="9" t="s">
        <v>351</v>
      </c>
      <c r="L92" s="27">
        <v>1</v>
      </c>
      <c r="M92" s="9" t="s">
        <v>351</v>
      </c>
      <c r="N92" s="27">
        <v>1</v>
      </c>
      <c r="O92" t="s">
        <v>351</v>
      </c>
      <c r="P92" t="s">
        <v>352</v>
      </c>
      <c r="Q92" t="s">
        <v>351</v>
      </c>
      <c r="R92" t="s">
        <v>30</v>
      </c>
      <c r="S92" s="9" t="s">
        <v>351</v>
      </c>
      <c r="T92" s="27">
        <v>-1</v>
      </c>
      <c r="U92" s="27">
        <v>-1</v>
      </c>
      <c r="V92" s="27">
        <v>-1</v>
      </c>
      <c r="W92" s="27">
        <v>1</v>
      </c>
      <c r="X92" s="27">
        <v>-1</v>
      </c>
      <c r="AA92" s="9" t="s">
        <v>351</v>
      </c>
      <c r="AB92" s="27">
        <v>7.000327102810413</v>
      </c>
    </row>
    <row r="93" spans="1:28">
      <c r="A93" s="9" t="s">
        <v>354</v>
      </c>
      <c r="E93" s="9" t="s">
        <v>354</v>
      </c>
      <c r="F93" s="27">
        <v>0</v>
      </c>
      <c r="G93" s="9" t="s">
        <v>354</v>
      </c>
      <c r="H93" s="27">
        <v>1</v>
      </c>
      <c r="I93" s="9" t="s">
        <v>354</v>
      </c>
      <c r="J93" s="27">
        <v>0</v>
      </c>
      <c r="K93" s="9" t="s">
        <v>354</v>
      </c>
      <c r="L93" s="27">
        <v>1</v>
      </c>
      <c r="M93" s="9" t="s">
        <v>354</v>
      </c>
      <c r="N93" s="27">
        <v>1</v>
      </c>
      <c r="O93" t="s">
        <v>354</v>
      </c>
      <c r="P93" t="s">
        <v>355</v>
      </c>
      <c r="Q93" t="s">
        <v>354</v>
      </c>
      <c r="R93" t="s">
        <v>30</v>
      </c>
      <c r="S93" s="9" t="s">
        <v>354</v>
      </c>
      <c r="T93" s="27">
        <v>-1</v>
      </c>
      <c r="U93" s="27">
        <v>1</v>
      </c>
      <c r="V93" s="27">
        <v>1</v>
      </c>
      <c r="W93" s="27">
        <v>1</v>
      </c>
      <c r="X93" s="27">
        <v>-1</v>
      </c>
      <c r="AA93" s="9" t="s">
        <v>354</v>
      </c>
      <c r="AB93" s="27">
        <v>12</v>
      </c>
    </row>
    <row r="94" spans="1:28">
      <c r="A94" s="9" t="s">
        <v>356</v>
      </c>
      <c r="E94" s="9" t="s">
        <v>356</v>
      </c>
      <c r="F94" s="27">
        <v>0</v>
      </c>
      <c r="G94" s="9" t="s">
        <v>356</v>
      </c>
      <c r="H94" s="27">
        <v>1</v>
      </c>
      <c r="I94" s="9" t="s">
        <v>356</v>
      </c>
      <c r="J94" s="27">
        <v>0</v>
      </c>
      <c r="K94" s="9" t="s">
        <v>356</v>
      </c>
      <c r="L94" s="27">
        <v>1</v>
      </c>
      <c r="M94" s="9" t="s">
        <v>356</v>
      </c>
      <c r="N94" s="27">
        <v>1</v>
      </c>
      <c r="O94" t="s">
        <v>356</v>
      </c>
      <c r="P94" t="s">
        <v>244</v>
      </c>
      <c r="Q94" t="s">
        <v>356</v>
      </c>
      <c r="R94" t="s">
        <v>30</v>
      </c>
      <c r="S94" s="9" t="s">
        <v>356</v>
      </c>
      <c r="T94" s="27">
        <v>-1</v>
      </c>
      <c r="U94" s="27">
        <v>-1</v>
      </c>
      <c r="V94" s="27">
        <v>-1</v>
      </c>
      <c r="W94" s="27">
        <v>1</v>
      </c>
      <c r="X94" s="27">
        <v>-1</v>
      </c>
      <c r="AA94" s="9" t="s">
        <v>356</v>
      </c>
      <c r="AB94" s="27">
        <v>7.000327102810413</v>
      </c>
    </row>
    <row r="95" spans="1:28">
      <c r="A95" s="9" t="s">
        <v>359</v>
      </c>
      <c r="E95" s="9" t="s">
        <v>359</v>
      </c>
      <c r="F95" s="27">
        <v>0</v>
      </c>
      <c r="G95" s="9" t="s">
        <v>359</v>
      </c>
      <c r="H95" s="27">
        <v>1</v>
      </c>
      <c r="I95" s="9" t="s">
        <v>359</v>
      </c>
      <c r="J95" s="27">
        <v>0</v>
      </c>
      <c r="K95" s="9" t="s">
        <v>359</v>
      </c>
      <c r="L95" s="27">
        <v>1</v>
      </c>
      <c r="M95" s="9" t="s">
        <v>359</v>
      </c>
      <c r="N95" s="27">
        <v>1</v>
      </c>
      <c r="O95" t="s">
        <v>359</v>
      </c>
      <c r="P95" t="s">
        <v>337</v>
      </c>
      <c r="Q95" t="s">
        <v>359</v>
      </c>
      <c r="R95" t="s">
        <v>30</v>
      </c>
      <c r="S95" s="9" t="s">
        <v>359</v>
      </c>
      <c r="T95" s="27">
        <v>-1</v>
      </c>
      <c r="U95" s="27">
        <v>-1</v>
      </c>
      <c r="V95" s="27">
        <v>-1</v>
      </c>
      <c r="W95" s="27">
        <v>1</v>
      </c>
      <c r="X95" s="27">
        <v>-1</v>
      </c>
      <c r="AA95" s="9" t="s">
        <v>359</v>
      </c>
      <c r="AB95" s="27">
        <v>12</v>
      </c>
    </row>
    <row r="96" spans="1:28">
      <c r="A96" s="9" t="s">
        <v>360</v>
      </c>
      <c r="E96" s="9" t="s">
        <v>360</v>
      </c>
      <c r="F96" s="27">
        <v>0</v>
      </c>
      <c r="G96" s="9" t="s">
        <v>360</v>
      </c>
      <c r="H96" s="27">
        <v>1</v>
      </c>
      <c r="I96" s="9" t="s">
        <v>360</v>
      </c>
      <c r="J96" s="27">
        <v>1</v>
      </c>
      <c r="K96" s="9" t="s">
        <v>360</v>
      </c>
      <c r="L96" s="27">
        <v>1</v>
      </c>
      <c r="M96" s="9" t="s">
        <v>360</v>
      </c>
      <c r="N96" s="27">
        <v>1</v>
      </c>
      <c r="O96" t="s">
        <v>360</v>
      </c>
      <c r="P96" t="s">
        <v>245</v>
      </c>
      <c r="Q96" t="s">
        <v>360</v>
      </c>
      <c r="R96" t="s">
        <v>30</v>
      </c>
      <c r="S96" s="9" t="s">
        <v>360</v>
      </c>
      <c r="T96" s="27">
        <v>-1</v>
      </c>
      <c r="U96" s="27">
        <v>-1</v>
      </c>
      <c r="V96" s="27">
        <v>-1</v>
      </c>
      <c r="W96" s="27">
        <v>1</v>
      </c>
      <c r="X96" s="27">
        <v>-1</v>
      </c>
      <c r="AA96" s="9" t="s">
        <v>360</v>
      </c>
      <c r="AB96" s="27">
        <v>6.000327102810413</v>
      </c>
    </row>
    <row r="97" spans="1:28">
      <c r="A97" s="9" t="s">
        <v>361</v>
      </c>
      <c r="E97" s="9" t="s">
        <v>361</v>
      </c>
      <c r="F97" s="27">
        <v>0</v>
      </c>
      <c r="G97" s="9" t="s">
        <v>361</v>
      </c>
      <c r="H97" s="27">
        <v>0</v>
      </c>
      <c r="I97" s="9" t="s">
        <v>361</v>
      </c>
      <c r="J97" s="27">
        <v>1</v>
      </c>
      <c r="K97" s="9" t="s">
        <v>361</v>
      </c>
      <c r="L97" s="27">
        <v>0</v>
      </c>
      <c r="M97" s="9" t="s">
        <v>361</v>
      </c>
      <c r="N97" s="27">
        <v>0</v>
      </c>
      <c r="O97" t="s">
        <v>361</v>
      </c>
      <c r="P97" t="s">
        <v>364</v>
      </c>
      <c r="Q97" t="s">
        <v>361</v>
      </c>
      <c r="R97" t="s">
        <v>30</v>
      </c>
      <c r="S97" s="9" t="s">
        <v>361</v>
      </c>
      <c r="T97" s="27">
        <v>-1</v>
      </c>
      <c r="U97" s="27">
        <v>-1</v>
      </c>
      <c r="V97" s="27">
        <v>-1</v>
      </c>
      <c r="W97" s="27">
        <v>1</v>
      </c>
      <c r="X97" s="27">
        <v>-1</v>
      </c>
      <c r="AA97" s="9" t="s">
        <v>361</v>
      </c>
      <c r="AB97" s="27">
        <v>7.000327102810413</v>
      </c>
    </row>
    <row r="98" spans="1:28">
      <c r="A98" s="9" t="s">
        <v>362</v>
      </c>
      <c r="E98" s="9" t="s">
        <v>362</v>
      </c>
      <c r="F98" s="27">
        <v>0</v>
      </c>
      <c r="G98" s="9" t="s">
        <v>362</v>
      </c>
      <c r="H98" s="27">
        <v>0</v>
      </c>
      <c r="I98" s="9" t="s">
        <v>362</v>
      </c>
      <c r="J98" s="27">
        <v>0</v>
      </c>
      <c r="K98" s="9" t="s">
        <v>362</v>
      </c>
      <c r="L98" s="27">
        <v>1</v>
      </c>
      <c r="M98" s="9" t="s">
        <v>362</v>
      </c>
      <c r="N98" s="27">
        <v>1</v>
      </c>
      <c r="O98" t="s">
        <v>362</v>
      </c>
      <c r="P98" t="s">
        <v>363</v>
      </c>
      <c r="Q98" t="s">
        <v>362</v>
      </c>
      <c r="R98" t="s">
        <v>30</v>
      </c>
      <c r="S98" s="9" t="s">
        <v>362</v>
      </c>
      <c r="T98" s="27">
        <v>-1</v>
      </c>
      <c r="U98" s="27">
        <v>-1</v>
      </c>
      <c r="V98" s="27">
        <v>-1</v>
      </c>
      <c r="W98" s="27">
        <v>1</v>
      </c>
      <c r="X98" s="27">
        <v>-1</v>
      </c>
      <c r="AA98" s="9" t="s">
        <v>362</v>
      </c>
      <c r="AB98" s="27">
        <v>6.000327102810413</v>
      </c>
    </row>
    <row r="99" spans="1:28">
      <c r="A99" s="9" t="s">
        <v>365</v>
      </c>
      <c r="E99" s="9" t="s">
        <v>365</v>
      </c>
      <c r="F99" s="27">
        <v>0</v>
      </c>
      <c r="G99" s="9" t="s">
        <v>365</v>
      </c>
      <c r="H99" s="27">
        <v>1</v>
      </c>
      <c r="I99" s="9" t="s">
        <v>365</v>
      </c>
      <c r="J99" s="27">
        <v>0</v>
      </c>
      <c r="K99" s="9" t="s">
        <v>365</v>
      </c>
      <c r="L99" s="27">
        <v>1</v>
      </c>
      <c r="M99" s="9" t="s">
        <v>365</v>
      </c>
      <c r="N99" s="27">
        <v>1</v>
      </c>
      <c r="O99" t="s">
        <v>365</v>
      </c>
      <c r="P99" t="s">
        <v>337</v>
      </c>
      <c r="Q99" t="s">
        <v>365</v>
      </c>
      <c r="R99" t="s">
        <v>30</v>
      </c>
      <c r="S99" s="9" t="s">
        <v>365</v>
      </c>
      <c r="T99" s="27">
        <v>-1</v>
      </c>
      <c r="U99" s="27">
        <v>-1</v>
      </c>
      <c r="V99" s="27">
        <v>-1</v>
      </c>
      <c r="W99" s="27">
        <v>1</v>
      </c>
      <c r="X99" s="27">
        <v>-1</v>
      </c>
      <c r="AA99" s="9" t="s">
        <v>365</v>
      </c>
      <c r="AB99" s="27">
        <v>12</v>
      </c>
    </row>
    <row r="100" spans="1:28">
      <c r="A100" s="9" t="s">
        <v>366</v>
      </c>
      <c r="E100" s="9" t="s">
        <v>366</v>
      </c>
      <c r="F100" s="27">
        <v>1</v>
      </c>
      <c r="G100" s="9" t="s">
        <v>366</v>
      </c>
      <c r="H100" s="27">
        <v>1</v>
      </c>
      <c r="I100" s="9" t="s">
        <v>366</v>
      </c>
      <c r="J100" s="27">
        <v>0</v>
      </c>
      <c r="K100" s="9" t="s">
        <v>366</v>
      </c>
      <c r="L100" s="27">
        <v>1</v>
      </c>
      <c r="M100" s="9" t="s">
        <v>366</v>
      </c>
      <c r="N100" s="27">
        <v>1</v>
      </c>
      <c r="O100" t="s">
        <v>366</v>
      </c>
      <c r="P100" t="s">
        <v>357</v>
      </c>
      <c r="Q100" t="s">
        <v>366</v>
      </c>
      <c r="R100" t="s">
        <v>30</v>
      </c>
      <c r="S100" s="9" t="s">
        <v>366</v>
      </c>
      <c r="T100" s="27">
        <v>-1</v>
      </c>
      <c r="U100" s="27">
        <v>-1</v>
      </c>
      <c r="V100" s="27">
        <v>-1</v>
      </c>
      <c r="W100" s="27">
        <v>1</v>
      </c>
      <c r="X100" s="27">
        <v>-1</v>
      </c>
      <c r="AA100" s="9" t="s">
        <v>366</v>
      </c>
      <c r="AB100" s="27">
        <v>12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tabSelected="1" zoomScaleNormal="100" workbookViewId="0">
      <pane xSplit="2" ySplit="9" topLeftCell="C89" activePane="bottomRight" state="frozen"/>
      <selection pane="topRight" activeCell="C1" sqref="C1"/>
      <selection pane="bottomLeft" activeCell="A8" sqref="A8"/>
      <selection pane="bottomRight" activeCell="A101" sqref="A10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7">
      <c r="A6" s="4">
        <f>SUM(A10:A102)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6" t="s">
        <v>26</v>
      </c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340</v>
      </c>
      <c r="BA9" t="s">
        <v>338</v>
      </c>
      <c r="BB9" t="s">
        <v>339</v>
      </c>
      <c r="BC9" t="s">
        <v>341</v>
      </c>
      <c r="BD9" t="s">
        <v>353</v>
      </c>
      <c r="BE9" t="s">
        <v>358</v>
      </c>
    </row>
    <row r="10" spans="1:57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ht="17.25" customHeight="1">
      <c r="A17" s="17">
        <v>0</v>
      </c>
      <c r="B17" t="s">
        <v>229</v>
      </c>
      <c r="C17" t="s">
        <v>239</v>
      </c>
      <c r="D17" t="s">
        <v>30</v>
      </c>
      <c r="E17" t="s">
        <v>244</v>
      </c>
      <c r="F17">
        <v>1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56" s="24" customFormat="1">
      <c r="A18" s="23">
        <v>0</v>
      </c>
      <c r="B18" s="24" t="s">
        <v>361</v>
      </c>
      <c r="C18" s="24" t="s">
        <v>239</v>
      </c>
      <c r="D18" s="24" t="s">
        <v>30</v>
      </c>
      <c r="E18" s="24" t="s">
        <v>364</v>
      </c>
      <c r="F18" s="24">
        <v>0</v>
      </c>
      <c r="G18" s="24">
        <v>1</v>
      </c>
      <c r="I18" s="25">
        <v>0</v>
      </c>
      <c r="J18" s="25">
        <v>0</v>
      </c>
      <c r="K18" s="24">
        <v>-1</v>
      </c>
      <c r="L18" s="24">
        <v>-1</v>
      </c>
      <c r="M18" s="24">
        <v>-1</v>
      </c>
      <c r="N18" s="24">
        <v>1</v>
      </c>
      <c r="O18" s="24">
        <v>-1</v>
      </c>
      <c r="P18" s="24">
        <v>7.000327102810413</v>
      </c>
      <c r="AY18" s="24">
        <v>0</v>
      </c>
      <c r="BA18" s="24">
        <v>1</v>
      </c>
      <c r="BD18" s="24">
        <v>1</v>
      </c>
    </row>
    <row r="19" spans="1:56" ht="17.25" customHeight="1">
      <c r="A19" s="17">
        <v>0</v>
      </c>
      <c r="B19" t="s">
        <v>360</v>
      </c>
      <c r="C19" t="s">
        <v>243</v>
      </c>
      <c r="D19" t="s">
        <v>30</v>
      </c>
      <c r="E19" t="s">
        <v>245</v>
      </c>
      <c r="F19">
        <v>1</v>
      </c>
      <c r="G19">
        <v>1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f>P17-1</f>
        <v>6.000327102810413</v>
      </c>
      <c r="AY19">
        <v>0</v>
      </c>
      <c r="BA19">
        <v>1</v>
      </c>
      <c r="BD19">
        <v>1</v>
      </c>
    </row>
    <row r="20" spans="1:56" s="24" customFormat="1">
      <c r="A20" s="23">
        <v>0</v>
      </c>
      <c r="B20" s="24" t="s">
        <v>362</v>
      </c>
      <c r="C20" s="24" t="s">
        <v>243</v>
      </c>
      <c r="D20" s="24" t="s">
        <v>30</v>
      </c>
      <c r="E20" s="24" t="s">
        <v>363</v>
      </c>
      <c r="F20" s="24">
        <v>0</v>
      </c>
      <c r="G20" s="24">
        <v>0</v>
      </c>
      <c r="I20" s="24">
        <v>1</v>
      </c>
      <c r="J20" s="24">
        <v>1</v>
      </c>
      <c r="K20" s="24">
        <v>-1</v>
      </c>
      <c r="L20" s="24">
        <v>-1</v>
      </c>
      <c r="M20" s="24">
        <v>-1</v>
      </c>
      <c r="N20" s="24">
        <v>1</v>
      </c>
      <c r="O20" s="24">
        <v>-1</v>
      </c>
      <c r="P20" s="24">
        <f>P18-1</f>
        <v>6.000327102810413</v>
      </c>
      <c r="AY20" s="24">
        <v>0</v>
      </c>
      <c r="BA20" s="24">
        <v>1</v>
      </c>
      <c r="BD20" s="24">
        <v>1</v>
      </c>
    </row>
    <row r="21" spans="1:56">
      <c r="A21" s="17">
        <v>0</v>
      </c>
      <c r="B21" t="s">
        <v>234</v>
      </c>
      <c r="C21" t="s">
        <v>240</v>
      </c>
      <c r="D21" t="s">
        <v>30</v>
      </c>
      <c r="E21" t="s">
        <v>235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0</v>
      </c>
      <c r="B22" t="s">
        <v>236</v>
      </c>
      <c r="C22" t="s">
        <v>238</v>
      </c>
      <c r="D22" t="s">
        <v>30</v>
      </c>
      <c r="E22" t="s">
        <v>237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230</v>
      </c>
      <c r="C23" t="s">
        <v>241</v>
      </c>
      <c r="D23" t="s">
        <v>30</v>
      </c>
      <c r="E23" t="s">
        <v>231</v>
      </c>
      <c r="F23">
        <v>1</v>
      </c>
      <c r="G23">
        <v>1</v>
      </c>
      <c r="I23">
        <v>1</v>
      </c>
      <c r="J23">
        <v>1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232</v>
      </c>
      <c r="C24" t="s">
        <v>242</v>
      </c>
      <c r="D24" t="s">
        <v>30</v>
      </c>
      <c r="E24" t="s">
        <v>231</v>
      </c>
      <c r="F24">
        <v>1</v>
      </c>
      <c r="G24">
        <v>1</v>
      </c>
      <c r="I24">
        <v>1</v>
      </c>
      <c r="J24">
        <v>1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4" customFormat="1">
      <c r="A25" s="23">
        <v>0</v>
      </c>
      <c r="B25" s="24" t="s">
        <v>359</v>
      </c>
      <c r="D25" s="24" t="s">
        <v>30</v>
      </c>
      <c r="E25" s="24" t="s">
        <v>337</v>
      </c>
      <c r="F25" s="24">
        <v>1</v>
      </c>
      <c r="G25" s="24">
        <v>0</v>
      </c>
      <c r="I25" s="24">
        <v>1</v>
      </c>
      <c r="J25" s="24">
        <v>1</v>
      </c>
      <c r="K25" s="24">
        <v>-1</v>
      </c>
      <c r="L25" s="24">
        <v>-1</v>
      </c>
      <c r="M25" s="24">
        <v>-1</v>
      </c>
      <c r="N25" s="24">
        <v>1</v>
      </c>
      <c r="O25" s="24">
        <v>-1</v>
      </c>
      <c r="P25" s="24">
        <v>12</v>
      </c>
      <c r="Q25" s="24">
        <v>1</v>
      </c>
      <c r="BB25" s="24">
        <v>1</v>
      </c>
      <c r="BD25" s="24">
        <v>1</v>
      </c>
    </row>
    <row r="26" spans="1:56">
      <c r="A26" s="17">
        <v>0</v>
      </c>
      <c r="B26" t="s">
        <v>343</v>
      </c>
      <c r="D26" t="s">
        <v>30</v>
      </c>
      <c r="E26" t="s">
        <v>233</v>
      </c>
      <c r="F26">
        <v>1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344</v>
      </c>
      <c r="D27" t="s">
        <v>30</v>
      </c>
      <c r="E27" t="s">
        <v>233</v>
      </c>
      <c r="F27">
        <v>1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347</v>
      </c>
      <c r="D28" t="s">
        <v>30</v>
      </c>
      <c r="E28" t="s">
        <v>345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348</v>
      </c>
      <c r="D29" t="s">
        <v>30</v>
      </c>
      <c r="E29" t="s">
        <v>346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350</v>
      </c>
      <c r="D30" t="s">
        <v>30</v>
      </c>
      <c r="E30" t="s">
        <v>349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351</v>
      </c>
      <c r="D31" t="s">
        <v>30</v>
      </c>
      <c r="E31" t="s">
        <v>352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21">
        <v>0</v>
      </c>
      <c r="B32" s="18" t="s">
        <v>336</v>
      </c>
      <c r="D32" s="18" t="s">
        <v>30</v>
      </c>
      <c r="E32" s="18" t="s">
        <v>337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2">
        <v>9.9</v>
      </c>
      <c r="Q32" s="18">
        <v>1</v>
      </c>
      <c r="BB32" s="18">
        <v>1</v>
      </c>
    </row>
    <row r="33" spans="1:65">
      <c r="A33" s="17">
        <v>0</v>
      </c>
      <c r="B33" t="s">
        <v>246</v>
      </c>
      <c r="D33" t="s">
        <v>30</v>
      </c>
      <c r="E33" t="s">
        <v>233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>MATCH(B33,$BM$33:$BM$47,0)</f>
        <v>1</v>
      </c>
      <c r="BB33">
        <v>1</v>
      </c>
      <c r="BM33" t="s">
        <v>246</v>
      </c>
    </row>
    <row r="34" spans="1:65">
      <c r="A34" s="17">
        <v>0</v>
      </c>
      <c r="B34" t="s">
        <v>247</v>
      </c>
      <c r="D34" t="s">
        <v>30</v>
      </c>
      <c r="E34" t="s">
        <v>311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248</v>
      </c>
    </row>
    <row r="35" spans="1:65">
      <c r="A35" s="17">
        <v>0</v>
      </c>
      <c r="B35" t="s">
        <v>248</v>
      </c>
      <c r="D35" t="s">
        <v>30</v>
      </c>
      <c r="E35" t="s">
        <v>312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f t="shared" ref="Q35:Q50" si="3">MATCH(B35,$BM$33:$BM$47,0)</f>
        <v>2</v>
      </c>
      <c r="BB35">
        <v>1</v>
      </c>
      <c r="BM35" t="s">
        <v>252</v>
      </c>
    </row>
    <row r="36" spans="1:65">
      <c r="A36" s="17">
        <v>0</v>
      </c>
      <c r="B36" t="s">
        <v>249</v>
      </c>
      <c r="D36" t="s">
        <v>30</v>
      </c>
      <c r="E36" t="s">
        <v>313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253</v>
      </c>
    </row>
    <row r="37" spans="1:65">
      <c r="A37" s="17">
        <v>0</v>
      </c>
      <c r="B37" t="s">
        <v>250</v>
      </c>
      <c r="D37" t="s">
        <v>30</v>
      </c>
      <c r="E37" t="s">
        <v>314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v>1</v>
      </c>
      <c r="BB37">
        <v>1</v>
      </c>
      <c r="BM37" t="s">
        <v>254</v>
      </c>
    </row>
    <row r="38" spans="1:65">
      <c r="A38" s="17">
        <v>0</v>
      </c>
      <c r="B38" t="s">
        <v>251</v>
      </c>
      <c r="D38" t="s">
        <v>30</v>
      </c>
      <c r="E38" t="s">
        <v>315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v>1</v>
      </c>
      <c r="BB38">
        <v>1</v>
      </c>
      <c r="BM38" t="s">
        <v>255</v>
      </c>
    </row>
    <row r="39" spans="1:65">
      <c r="A39" s="17">
        <v>0</v>
      </c>
      <c r="B39" t="s">
        <v>252</v>
      </c>
      <c r="D39" t="s">
        <v>30</v>
      </c>
      <c r="E39" t="s">
        <v>316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3</v>
      </c>
      <c r="BB39">
        <v>1</v>
      </c>
      <c r="BM39" t="s">
        <v>256</v>
      </c>
    </row>
    <row r="40" spans="1:65">
      <c r="A40" s="17">
        <v>0</v>
      </c>
      <c r="B40" t="s">
        <v>253</v>
      </c>
      <c r="D40" t="s">
        <v>30</v>
      </c>
      <c r="E40" t="s">
        <v>317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4</v>
      </c>
      <c r="BB40">
        <v>1</v>
      </c>
      <c r="BM40" t="s">
        <v>257</v>
      </c>
    </row>
    <row r="41" spans="1:65">
      <c r="A41" s="17">
        <v>0</v>
      </c>
      <c r="B41" t="s">
        <v>254</v>
      </c>
      <c r="D41" t="s">
        <v>30</v>
      </c>
      <c r="E41" t="s">
        <v>318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2">
        <v>9.9</v>
      </c>
      <c r="Q41">
        <f t="shared" si="3"/>
        <v>5</v>
      </c>
      <c r="BB41">
        <v>1</v>
      </c>
      <c r="BM41" t="s">
        <v>258</v>
      </c>
    </row>
    <row r="42" spans="1:65">
      <c r="A42" s="17">
        <v>0</v>
      </c>
      <c r="B42" t="s">
        <v>255</v>
      </c>
      <c r="D42" t="s">
        <v>30</v>
      </c>
      <c r="E42" t="s">
        <v>319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9.9</v>
      </c>
      <c r="Q42">
        <f t="shared" si="3"/>
        <v>6</v>
      </c>
      <c r="BB42">
        <v>1</v>
      </c>
      <c r="BM42" t="s">
        <v>259</v>
      </c>
    </row>
    <row r="43" spans="1:65">
      <c r="A43" s="17">
        <v>0</v>
      </c>
      <c r="B43" t="s">
        <v>256</v>
      </c>
      <c r="D43" t="s">
        <v>30</v>
      </c>
      <c r="E43" t="s">
        <v>320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2">
        <v>9.9</v>
      </c>
      <c r="Q43">
        <f t="shared" si="3"/>
        <v>7</v>
      </c>
      <c r="BB43">
        <v>1</v>
      </c>
      <c r="BM43" t="s">
        <v>260</v>
      </c>
    </row>
    <row r="44" spans="1:65">
      <c r="A44" s="17">
        <v>0</v>
      </c>
      <c r="B44" t="s">
        <v>257</v>
      </c>
      <c r="D44" t="s">
        <v>30</v>
      </c>
      <c r="E44" t="s">
        <v>233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8</v>
      </c>
      <c r="BB44">
        <v>1</v>
      </c>
      <c r="BM44" t="s">
        <v>261</v>
      </c>
    </row>
    <row r="45" spans="1:65">
      <c r="A45" s="17">
        <v>0</v>
      </c>
      <c r="B45" t="s">
        <v>258</v>
      </c>
      <c r="D45" t="s">
        <v>30</v>
      </c>
      <c r="E45" t="s">
        <v>316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9</v>
      </c>
      <c r="BB45">
        <v>1</v>
      </c>
      <c r="BM45" t="s">
        <v>262</v>
      </c>
    </row>
    <row r="46" spans="1:65">
      <c r="A46" s="17">
        <v>0</v>
      </c>
      <c r="B46" t="s">
        <v>259</v>
      </c>
      <c r="D46" t="s">
        <v>30</v>
      </c>
      <c r="E46" t="s">
        <v>317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10</v>
      </c>
      <c r="BB46">
        <v>1</v>
      </c>
      <c r="BM46" t="s">
        <v>263</v>
      </c>
    </row>
    <row r="47" spans="1:65">
      <c r="A47" s="17">
        <v>0</v>
      </c>
      <c r="B47" t="s">
        <v>260</v>
      </c>
      <c r="D47" t="s">
        <v>30</v>
      </c>
      <c r="E47" t="s">
        <v>318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11</v>
      </c>
      <c r="BB47">
        <v>1</v>
      </c>
      <c r="BM47" t="s">
        <v>264</v>
      </c>
    </row>
    <row r="48" spans="1:65">
      <c r="A48" s="17">
        <v>0</v>
      </c>
      <c r="B48" t="s">
        <v>261</v>
      </c>
      <c r="D48" t="s">
        <v>30</v>
      </c>
      <c r="E48" t="s">
        <v>321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262</v>
      </c>
      <c r="D49" t="s">
        <v>30</v>
      </c>
      <c r="E49" t="s">
        <v>322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2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263</v>
      </c>
      <c r="D50" t="s">
        <v>30</v>
      </c>
      <c r="E50" t="s">
        <v>323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2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264</v>
      </c>
      <c r="D51" t="s">
        <v>30</v>
      </c>
      <c r="E51" t="s">
        <v>324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265</v>
      </c>
      <c r="D52" t="s">
        <v>30</v>
      </c>
      <c r="E52" t="s">
        <v>325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266</v>
      </c>
      <c r="D53" t="s">
        <v>30</v>
      </c>
      <c r="E53" t="s">
        <v>326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267</v>
      </c>
      <c r="D54" t="s">
        <v>30</v>
      </c>
      <c r="E54" t="s">
        <v>327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Q54">
        <v>1</v>
      </c>
      <c r="BB54">
        <v>1</v>
      </c>
    </row>
    <row r="55" spans="1:54">
      <c r="A55" s="17">
        <v>0</v>
      </c>
      <c r="B55" t="s">
        <v>268</v>
      </c>
      <c r="D55" t="s">
        <v>30</v>
      </c>
      <c r="E55" t="s">
        <v>328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269</v>
      </c>
      <c r="D56" t="s">
        <v>30</v>
      </c>
      <c r="E56" t="s">
        <v>329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270</v>
      </c>
      <c r="D57" t="s">
        <v>30</v>
      </c>
      <c r="E57" t="s">
        <v>330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2">
        <v>5.8</v>
      </c>
      <c r="Q57">
        <v>1</v>
      </c>
      <c r="BB57">
        <v>1</v>
      </c>
    </row>
    <row r="58" spans="1:54">
      <c r="A58" s="17">
        <v>0</v>
      </c>
      <c r="B58" t="s">
        <v>271</v>
      </c>
      <c r="D58" t="s">
        <v>30</v>
      </c>
      <c r="E58" t="s">
        <v>331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272</v>
      </c>
      <c r="D59" t="s">
        <v>30</v>
      </c>
      <c r="E59" t="s">
        <v>332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273</v>
      </c>
      <c r="D60" t="s">
        <v>30</v>
      </c>
      <c r="E60" t="s">
        <v>333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2">
        <v>5.8</v>
      </c>
      <c r="Q60">
        <v>1</v>
      </c>
      <c r="BB60">
        <v>1</v>
      </c>
    </row>
    <row r="61" spans="1:54">
      <c r="A61" s="17">
        <v>0</v>
      </c>
      <c r="B61" t="s">
        <v>274</v>
      </c>
      <c r="D61" t="s">
        <v>30</v>
      </c>
      <c r="E61" t="s">
        <v>334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2">
        <v>5.8</v>
      </c>
      <c r="Q61">
        <v>1</v>
      </c>
      <c r="BB61">
        <v>1</v>
      </c>
    </row>
    <row r="62" spans="1:54">
      <c r="A62" s="17">
        <v>0</v>
      </c>
      <c r="B62" t="s">
        <v>275</v>
      </c>
      <c r="D62" t="s">
        <v>30</v>
      </c>
      <c r="E62" t="s">
        <v>233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276</v>
      </c>
      <c r="D63" t="s">
        <v>30</v>
      </c>
      <c r="E63" t="s">
        <v>316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277</v>
      </c>
      <c r="D64" t="s">
        <v>30</v>
      </c>
      <c r="E64" t="s">
        <v>317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278</v>
      </c>
      <c r="D65" t="s">
        <v>30</v>
      </c>
      <c r="E65" t="s">
        <v>318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279</v>
      </c>
      <c r="D66" t="s">
        <v>30</v>
      </c>
      <c r="E66" t="s">
        <v>321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280</v>
      </c>
      <c r="D67" t="s">
        <v>30</v>
      </c>
      <c r="E67" t="s">
        <v>322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281</v>
      </c>
      <c r="D68" t="s">
        <v>30</v>
      </c>
      <c r="E68" t="s">
        <v>323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282</v>
      </c>
      <c r="D69" t="s">
        <v>30</v>
      </c>
      <c r="E69" t="s">
        <v>324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283</v>
      </c>
      <c r="D70" t="s">
        <v>30</v>
      </c>
      <c r="E70" t="s">
        <v>325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284</v>
      </c>
      <c r="D71" t="s">
        <v>30</v>
      </c>
      <c r="E71" t="s">
        <v>326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Q71">
        <v>1</v>
      </c>
      <c r="BB71">
        <v>1</v>
      </c>
    </row>
    <row r="72" spans="1:54">
      <c r="A72" s="17">
        <v>0</v>
      </c>
      <c r="B72" t="s">
        <v>285</v>
      </c>
      <c r="D72" t="s">
        <v>30</v>
      </c>
      <c r="E72" t="s">
        <v>327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Q72">
        <v>1</v>
      </c>
      <c r="BB72">
        <v>1</v>
      </c>
    </row>
    <row r="73" spans="1:54">
      <c r="A73" s="17">
        <v>0</v>
      </c>
      <c r="B73" t="s">
        <v>286</v>
      </c>
      <c r="D73" t="s">
        <v>30</v>
      </c>
      <c r="E73" t="s">
        <v>328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287</v>
      </c>
      <c r="D74" t="s">
        <v>30</v>
      </c>
      <c r="E74" t="s">
        <v>329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288</v>
      </c>
      <c r="D75" t="s">
        <v>30</v>
      </c>
      <c r="E75" t="s">
        <v>330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289</v>
      </c>
      <c r="D76" t="s">
        <v>30</v>
      </c>
      <c r="E76" t="s">
        <v>331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290</v>
      </c>
      <c r="D77" t="s">
        <v>30</v>
      </c>
      <c r="E77" t="s">
        <v>332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291</v>
      </c>
      <c r="D78" t="s">
        <v>30</v>
      </c>
      <c r="E78" t="s">
        <v>333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2">
        <v>6</v>
      </c>
      <c r="BB78">
        <v>1</v>
      </c>
    </row>
    <row r="79" spans="1:54">
      <c r="A79" s="17">
        <v>0</v>
      </c>
      <c r="B79" t="s">
        <v>292</v>
      </c>
      <c r="D79" t="s">
        <v>30</v>
      </c>
      <c r="E79" t="s">
        <v>334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2">
        <v>6</v>
      </c>
      <c r="BB79">
        <v>1</v>
      </c>
    </row>
    <row r="80" spans="1:54">
      <c r="A80" s="17">
        <v>0</v>
      </c>
      <c r="B80" t="s">
        <v>293</v>
      </c>
      <c r="D80" t="s">
        <v>30</v>
      </c>
      <c r="E80" t="s">
        <v>233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294</v>
      </c>
      <c r="D81" t="s">
        <v>30</v>
      </c>
      <c r="E81" t="s">
        <v>316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295</v>
      </c>
      <c r="D82" t="s">
        <v>30</v>
      </c>
      <c r="E82" t="s">
        <v>317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296</v>
      </c>
      <c r="D83" t="s">
        <v>30</v>
      </c>
      <c r="E83" t="s">
        <v>318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297</v>
      </c>
      <c r="D84" t="s">
        <v>30</v>
      </c>
      <c r="E84" t="s">
        <v>321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298</v>
      </c>
      <c r="D85" t="s">
        <v>30</v>
      </c>
      <c r="E85" t="s">
        <v>322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299</v>
      </c>
      <c r="D86" t="s">
        <v>30</v>
      </c>
      <c r="E86" t="s">
        <v>323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300</v>
      </c>
      <c r="D87" t="s">
        <v>30</v>
      </c>
      <c r="E87" t="s">
        <v>324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301</v>
      </c>
      <c r="D88" t="s">
        <v>30</v>
      </c>
      <c r="E88" t="s">
        <v>325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302</v>
      </c>
      <c r="D89" t="s">
        <v>30</v>
      </c>
      <c r="E89" t="s">
        <v>326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303</v>
      </c>
      <c r="D90" t="s">
        <v>30</v>
      </c>
      <c r="E90" t="s">
        <v>327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304</v>
      </c>
      <c r="D91" t="s">
        <v>30</v>
      </c>
      <c r="E91" t="s">
        <v>328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305</v>
      </c>
      <c r="D92" t="s">
        <v>30</v>
      </c>
      <c r="E92" t="s">
        <v>329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306</v>
      </c>
      <c r="D93" t="s">
        <v>30</v>
      </c>
      <c r="E93" t="s">
        <v>330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307</v>
      </c>
      <c r="D94" t="s">
        <v>30</v>
      </c>
      <c r="E94" t="s">
        <v>331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308</v>
      </c>
      <c r="D95" t="s">
        <v>30</v>
      </c>
      <c r="E95" t="s">
        <v>332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>
        <v>0</v>
      </c>
      <c r="B96" t="s">
        <v>309</v>
      </c>
      <c r="D96" t="s">
        <v>30</v>
      </c>
      <c r="E96" t="s">
        <v>333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2">
        <v>6.5</v>
      </c>
      <c r="BB96">
        <v>1</v>
      </c>
    </row>
    <row r="97" spans="1:57">
      <c r="A97" s="17">
        <v>0</v>
      </c>
      <c r="B97" t="s">
        <v>310</v>
      </c>
      <c r="D97" t="s">
        <v>30</v>
      </c>
      <c r="E97" t="s">
        <v>334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2">
        <v>6.5</v>
      </c>
      <c r="BB97">
        <v>1</v>
      </c>
    </row>
    <row r="98" spans="1:57">
      <c r="A98" s="17">
        <v>0</v>
      </c>
      <c r="B98" t="s">
        <v>365</v>
      </c>
      <c r="D98" t="s">
        <v>30</v>
      </c>
      <c r="E98" t="s">
        <v>337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2">
        <v>12</v>
      </c>
      <c r="BB98">
        <v>1</v>
      </c>
      <c r="BE98">
        <v>1</v>
      </c>
    </row>
    <row r="99" spans="1:57">
      <c r="A99" s="17">
        <v>1</v>
      </c>
      <c r="B99" t="s">
        <v>366</v>
      </c>
      <c r="D99" t="s">
        <v>30</v>
      </c>
      <c r="E99" t="s">
        <v>357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2">
        <v>12</v>
      </c>
      <c r="BB99">
        <v>1</v>
      </c>
      <c r="BE99">
        <v>1</v>
      </c>
    </row>
    <row r="100" spans="1:57">
      <c r="A100" s="17">
        <v>1</v>
      </c>
      <c r="B100" t="s">
        <v>342</v>
      </c>
      <c r="D100" t="s">
        <v>30</v>
      </c>
      <c r="E100" t="s">
        <v>357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2">
        <v>12</v>
      </c>
      <c r="BB100">
        <v>1</v>
      </c>
      <c r="BE100">
        <v>1</v>
      </c>
    </row>
    <row r="101" spans="1:57">
      <c r="A101" s="17">
        <v>0</v>
      </c>
      <c r="B101" t="s">
        <v>356</v>
      </c>
      <c r="D101" t="s">
        <v>30</v>
      </c>
      <c r="E101" t="s">
        <v>244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354</v>
      </c>
      <c r="D102" t="s">
        <v>30</v>
      </c>
      <c r="E102" t="s">
        <v>355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2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2023-08-10T12:33:59Z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