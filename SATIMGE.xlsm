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5908E678-9519-450C-82F7-2BE1C94FBD78}" xr6:coauthVersionLast="47" xr6:coauthVersionMax="47" xr10:uidLastSave="{00000000-0000-0000-0000-000000000000}"/>
  <bookViews>
    <workbookView xWindow="1305" yWindow="525" windowWidth="25470" windowHeight="12885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2" r:id="rId9"/>
    <pivotCache cacheId="2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<sst xmlns="http://schemas.openxmlformats.org/spreadsheetml/2006/main" count="569" uniqueCount="249">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</sst>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1.450731944446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NE"/>
        <s v="NZ-20W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1.450732986108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0"/>
    <n v="0"/>
    <s v="NZ_nopams_20afolu"/>
    <n v="0"/>
    <n v="0"/>
    <n v="-1"/>
    <n v="-1"/>
    <n v="-1"/>
    <n v="1"/>
    <n v="4"/>
    <n v="100"/>
  </r>
  <r>
    <n v="1"/>
    <x v="3"/>
    <s v="yes tested"/>
    <x v="0"/>
    <x v="3"/>
    <n v="0"/>
    <n v="1"/>
    <s v="NZ_nopams_20afolu"/>
    <n v="0"/>
    <n v="0"/>
    <n v="-1"/>
    <n v="-1"/>
    <n v="-1"/>
    <n v="1"/>
    <n v="4"/>
    <n v="5.4793989999999999"/>
  </r>
  <r>
    <n v="0"/>
    <x v="4"/>
    <s v="yes tested"/>
    <x v="0"/>
    <x v="4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-T"/>
    <n v="0"/>
    <n v="0"/>
    <s v="NZ_nopams_20afolu"/>
    <n v="0"/>
    <n v="0"/>
    <n v="-1"/>
    <n v="-1"/>
    <n v="-1"/>
    <n v="1"/>
    <n v="4"/>
    <n v="100"/>
  </r>
  <r>
    <n v="1"/>
    <x v="3"/>
    <s v="yes tested"/>
    <s v="base"/>
    <s v="NZ-20NE"/>
    <n v="0"/>
    <n v="1"/>
    <s v="NZ_nopams_20afolu"/>
    <n v="0"/>
    <n v="0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11"/>
    </i>
    <i>
      <x v="8"/>
      <x v="109"/>
    </i>
    <i>
      <x v="9"/>
      <x v="118"/>
    </i>
    <i>
      <x v="10"/>
      <x v="124"/>
    </i>
    <i>
      <x v="11"/>
      <x v="125"/>
    </i>
    <i>
      <x v="12"/>
      <x v="130"/>
    </i>
    <i>
      <x v="13"/>
      <x v="130"/>
    </i>
    <i>
      <x v="14"/>
      <x v="107"/>
    </i>
    <i>
      <x v="15"/>
      <x v="106"/>
    </i>
    <i>
      <x v="16"/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5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3"/>
        <item x="4"/>
        <item x="7"/>
        <item x="5"/>
        <item x="8"/>
        <item x="6"/>
        <item x="11"/>
        <item x="12"/>
        <item x="13"/>
        <item x="14"/>
        <item x="2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2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18" sqref="C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abSelected="1" topLeftCell="R23" workbookViewId="0">
      <selection activeCell="AD39" sqref="AD39:AD4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244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1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2021</v>
      </c>
      <c r="AE9" s="14" t="str">
        <f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236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234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245</v>
      </c>
      <c r="B13" s="13" t="s">
        <v>237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226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235</v>
      </c>
      <c r="AB13" s="3">
        <v>4.7911130000000002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238</v>
      </c>
      <c r="B14" s="13" t="s">
        <v>240</v>
      </c>
      <c r="C14" s="13" t="s">
        <v>50</v>
      </c>
      <c r="D14" s="13"/>
      <c r="E14" s="13" t="s">
        <v>225</v>
      </c>
      <c r="F14" s="3">
        <v>0</v>
      </c>
      <c r="G14" s="13" t="s">
        <v>225</v>
      </c>
      <c r="H14" s="3">
        <v>1</v>
      </c>
      <c r="I14" s="13" t="s">
        <v>225</v>
      </c>
      <c r="J14" s="3">
        <v>1</v>
      </c>
      <c r="K14" s="13" t="s">
        <v>225</v>
      </c>
      <c r="L14" s="3">
        <v>1</v>
      </c>
      <c r="M14" s="13" t="s">
        <v>225</v>
      </c>
      <c r="N14" s="3">
        <v>1</v>
      </c>
      <c r="O14" s="7" t="s">
        <v>225</v>
      </c>
      <c r="P14" s="7" t="s">
        <v>224</v>
      </c>
      <c r="Q14" s="7" t="s">
        <v>225</v>
      </c>
      <c r="R14" s="7" t="s">
        <v>30</v>
      </c>
      <c r="S14" s="13" t="s">
        <v>225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225</v>
      </c>
      <c r="AB14" s="3">
        <v>4.7911130000000002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246</v>
      </c>
      <c r="B15" s="13" t="s">
        <v>241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0</v>
      </c>
      <c r="I15" s="13" t="s">
        <v>236</v>
      </c>
      <c r="J15" s="3">
        <v>1</v>
      </c>
      <c r="K15" s="13" t="s">
        <v>236</v>
      </c>
      <c r="L15" s="3">
        <v>0</v>
      </c>
      <c r="M15" s="13" t="s">
        <v>236</v>
      </c>
      <c r="N15" s="3">
        <v>0</v>
      </c>
      <c r="O15" s="7" t="s">
        <v>236</v>
      </c>
      <c r="P15" s="7" t="s">
        <v>237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4.4793989999999999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239</v>
      </c>
      <c r="B16" s="13" t="s">
        <v>242</v>
      </c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240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6.4793989999999999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248</v>
      </c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243</v>
      </c>
      <c r="F18" s="3">
        <v>0</v>
      </c>
      <c r="G18" s="13" t="s">
        <v>243</v>
      </c>
      <c r="H18" s="3">
        <v>0</v>
      </c>
      <c r="I18" s="13" t="s">
        <v>243</v>
      </c>
      <c r="J18" s="3">
        <v>1</v>
      </c>
      <c r="K18" s="13" t="s">
        <v>243</v>
      </c>
      <c r="L18" s="3">
        <v>0</v>
      </c>
      <c r="M18" s="13" t="s">
        <v>243</v>
      </c>
      <c r="N18" s="3">
        <v>0</v>
      </c>
      <c r="O18" s="7" t="s">
        <v>243</v>
      </c>
      <c r="P18" s="7" t="s">
        <v>242</v>
      </c>
      <c r="Q18" s="7" t="s">
        <v>243</v>
      </c>
      <c r="R18" s="7" t="s">
        <v>30</v>
      </c>
      <c r="S18" s="13" t="s">
        <v>243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243</v>
      </c>
      <c r="AB18" s="3">
        <v>100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225</v>
      </c>
      <c r="B19"/>
      <c r="E19" s="13" t="s">
        <v>244</v>
      </c>
      <c r="F19" s="3">
        <v>0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242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7.75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222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6.4793989999999999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247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221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0</v>
      </c>
      <c r="G22" s="13" t="s">
        <v>247</v>
      </c>
      <c r="H22" s="3">
        <v>0</v>
      </c>
      <c r="I22" s="13" t="s">
        <v>247</v>
      </c>
      <c r="J22" s="3">
        <v>0</v>
      </c>
      <c r="K22" s="13" t="s">
        <v>247</v>
      </c>
      <c r="L22" s="3">
        <v>0</v>
      </c>
      <c r="M22" s="13" t="s">
        <v>247</v>
      </c>
      <c r="N22" s="3">
        <v>0</v>
      </c>
      <c r="O22" s="7" t="s">
        <v>247</v>
      </c>
      <c r="P22" s="7" t="s">
        <v>248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100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4" sqref="F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236</v>
      </c>
      <c r="C11" s="7" t="s">
        <v>195</v>
      </c>
      <c r="D11" s="7" t="s">
        <v>30</v>
      </c>
      <c r="E11" s="7" t="s">
        <v>237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247</v>
      </c>
      <c r="C12" s="7" t="s">
        <v>195</v>
      </c>
      <c r="D12" s="7" t="s">
        <v>30</v>
      </c>
      <c r="E12" s="7" t="s">
        <v>248</v>
      </c>
      <c r="F12" s="7">
        <v>0</v>
      </c>
      <c r="G12" s="7">
        <v>0</v>
      </c>
      <c r="H12" s="7" t="s">
        <v>229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1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0</v>
      </c>
      <c r="G13" s="7">
        <v>1</v>
      </c>
      <c r="H13" s="7" t="s">
        <v>229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238</v>
      </c>
      <c r="C15" s="7" t="s">
        <v>195</v>
      </c>
      <c r="D15" s="7" t="s">
        <v>30</v>
      </c>
      <c r="E15" s="17" t="s">
        <v>240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239</v>
      </c>
      <c r="C16" s="7" t="s">
        <v>195</v>
      </c>
      <c r="D16" s="7" t="s">
        <v>30</v>
      </c>
      <c r="E16" s="17" t="s">
        <v>241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245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246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244</v>
      </c>
      <c r="C19" s="7" t="s">
        <v>195</v>
      </c>
      <c r="D19" s="7" t="s">
        <v>30</v>
      </c>
      <c r="E19" s="17" t="s">
        <v>242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243</v>
      </c>
      <c r="C20" s="7" t="s">
        <v>195</v>
      </c>
      <c r="D20" s="7" t="s">
        <v>30</v>
      </c>
      <c r="E20" s="17" t="s">
        <v>242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235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2022-05-10T09:24:47Z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