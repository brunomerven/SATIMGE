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6C6E18E-0F65-44E4-8414-C75EB091FE16}" xr6:coauthVersionLast="45" xr6:coauthVersionMax="45" xr10:uidLastSave="{00000000-0000-0000-0000-000000000000}"/>
  <bookViews>
    <workbookView xWindow="-1785" yWindow="-17940" windowWidth="30360" windowHeight="1459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27" r:id="rId9"/>
    <pivotCache cacheId="13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7" i="33" l="1"/>
  <c r="O17" i="33"/>
  <c r="N17" i="33"/>
  <c r="M17" i="33"/>
  <c r="L17" i="33"/>
  <c r="K17" i="33"/>
  <c r="Q18" i="33"/>
  <c r="O18" i="33"/>
  <c r="N18" i="33"/>
  <c r="M18" i="33"/>
  <c r="L18" i="33"/>
  <c r="K18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16" i="33"/>
  <c r="L16" i="33"/>
  <c r="M16" i="33"/>
  <c r="N16" i="33"/>
  <c r="O16" i="33"/>
  <c r="K19" i="33"/>
  <c r="L19" i="33"/>
  <c r="M19" i="33"/>
  <c r="N19" i="33"/>
  <c r="O19" i="33"/>
  <c r="Q13" i="33"/>
  <c r="Q15" i="33"/>
  <c r="Q12" i="33"/>
  <c r="Q14" i="33"/>
  <c r="Q16" i="33"/>
  <c r="Q19" i="33"/>
  <c r="H13" i="33" l="1"/>
  <c r="H8" i="33"/>
  <c r="K8" i="33" s="1"/>
  <c r="O8" i="33" l="1"/>
  <c r="N8" i="33"/>
  <c r="M8" i="33"/>
  <c r="L8" i="33"/>
  <c r="O13" i="33"/>
  <c r="H15" i="33"/>
  <c r="M13" i="33"/>
  <c r="K13" i="33"/>
  <c r="L13" i="33"/>
  <c r="N13" i="33"/>
  <c r="C20" i="4"/>
  <c r="K15" i="33" l="1"/>
  <c r="M15" i="33"/>
  <c r="N15" i="33"/>
  <c r="H12" i="33"/>
  <c r="O15" i="33"/>
  <c r="L15" i="33"/>
  <c r="C10" i="4"/>
  <c r="L12" i="33" l="1"/>
  <c r="M12" i="33"/>
  <c r="N12" i="33"/>
  <c r="O12" i="33"/>
  <c r="K12" i="33"/>
  <c r="AA7" i="5"/>
  <c r="AA8" i="5" s="1"/>
  <c r="AA9" i="5" s="1"/>
  <c r="AA10" i="5" s="1"/>
  <c r="AA11" i="5" s="1"/>
  <c r="AA12" i="5" s="1"/>
  <c r="AA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  <author>tc={83CA511A-FBD5-43F7-B8F0-E5362C3DCE52}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  <comment ref="D8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<sst xmlns="http://schemas.openxmlformats.org/spreadsheetml/2006/main" count="483" uniqueCount="229">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</sst>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76.916580439814" createdVersion="6" refreshedVersion="6" minRefreshableVersion="3" recordCount="14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unt="26">
        <s v="NoPAMS"/>
        <s v="LoPAMS"/>
        <s v="CPAMS-NoIRP"/>
        <s v="CPAMS-MRE"/>
        <s v="CPAMS-RE"/>
        <s v="CPAMS"/>
        <s v="HiPam"/>
        <s v="CPAMS-TrGr"/>
        <s v="CPAMS-TrGr-RE"/>
        <s v="CPAMS-TrGr-MRE"/>
        <s v="LoPAMS-MRE-TrGr"/>
        <s v="NoPAMS-TrGr-FrcdCoal"/>
        <m/>
        <s v="CPAMS-HiGr" u="1"/>
        <s v="TrGr-NoPams" u="1"/>
        <s v="CPAMS-TrGr-REProg" u="1"/>
        <s v="CPAMS-HIGrREProg" u="1"/>
        <s v="LoPAMS-FrcdCoal" u="1"/>
        <s v="NoPAMS-HiGr-FcdCoal" u="1"/>
        <s v="Run0" u="1"/>
        <s v="CPAMS-REProg" u="1"/>
        <s v="HiPam-REProg" u="1"/>
        <s v="LoPAMS-MRE" u="1"/>
        <s v="TrGr-NoPam" u="1"/>
        <s v="NoPAMS-HiGr" u="1"/>
        <s v="NoPAMS-HiGr-FrcdCoal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25">
        <s v="NOPAMS"/>
        <s v="LPAMS"/>
        <s v="CPAMSNOIRP"/>
        <s v="CPAMSMRE"/>
        <s v="CPAMSRE"/>
        <s v="CPAMSIRP"/>
        <s v="HPAMSIRP"/>
        <s v="CPAMSIRPTG"/>
        <s v="CPAMSRETG"/>
        <s v="CPAMSMRETG"/>
        <s v="LPAMSMRETG"/>
        <s v="NOPAMSFCTG"/>
        <m/>
        <s v="LPAMSFC" u="1"/>
        <s v="CPAMSREPROGHG" u="1"/>
        <s v="NOPAMSFCHG" u="1"/>
        <s v="CPAMSREPROGTG" u="1"/>
        <s v="CPAMSREPROG" u="1"/>
        <s v="NOPAMSFC" u="1"/>
        <s v="RUNCOAL" u="1"/>
        <s v="HPAMSREPROG" u="1"/>
        <s v="LPAMSMRE" u="1"/>
        <s v="RUNZERO" u="1"/>
        <s v="LPAMSMREP" u="1"/>
        <s v="CPAMSREPROTG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76.916580555553" createdVersion="6" refreshedVersion="6" minRefreshableVersion="3" recordCount="14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unt="29">
        <s v="NoPAMS"/>
        <s v="LoPAMS"/>
        <s v="CPAMS-NoIRP"/>
        <s v="CPAMS-MRE"/>
        <s v="CPAMS-RE"/>
        <s v="CPAMS"/>
        <s v="HiPam"/>
        <s v="CPAMS-TrGr"/>
        <s v="CPAMS-TrGr-RE"/>
        <s v="CPAMS-TrGr-MRE"/>
        <s v="LoPAMS-MRE-TrGr"/>
        <s v="NoPAMS-TrGr-FrcdCoal"/>
        <m/>
        <s v="CPAMS-HiGr" u="1"/>
        <s v="TrGr-NoPams" u="1"/>
        <s v="CPAMS-TrGr-REProg" u="1"/>
        <s v="CentralPAMSnoCoal" u="1"/>
        <s v="CPAMS-HIGrREProg" u="1"/>
        <s v="LoPAMS-FrcdCoal" u="1"/>
        <s v="NoPAMSForcedCoal" u="1"/>
        <s v="NoPAMS-HiGr-FcdCoal" u="1"/>
        <s v="Run0" u="1"/>
        <s v="CPAMS-REProg" u="1"/>
        <s v="HiPam-REProg" u="1"/>
        <s v="CentralPAMS" u="1"/>
        <s v="LoPAMS-MRE" u="1"/>
        <s v="TrGr-NoPam" u="1"/>
        <s v="NoPAMS-HiGr" u="1"/>
        <s v="NoPAMS-HiGr-FrcdCoal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"/>
    <x v="0"/>
    <s v="yes tested"/>
    <x v="0"/>
    <x v="0"/>
    <n v="1"/>
    <n v="1"/>
    <s v="No Pams"/>
    <n v="1"/>
    <n v="1"/>
    <n v="-1"/>
    <n v="-1"/>
    <n v="-1"/>
    <n v="1"/>
    <n v="3"/>
    <n v="100"/>
  </r>
  <r>
    <n v="1"/>
    <x v="1"/>
    <s v="yes tested"/>
    <x v="0"/>
    <x v="1"/>
    <n v="1"/>
    <n v="1"/>
    <s v="Lim Pams"/>
    <n v="1"/>
    <n v="1"/>
    <n v="2"/>
    <n v="2"/>
    <n v="2"/>
    <n v="1"/>
    <n v="3"/>
    <n v="100"/>
  </r>
  <r>
    <n v="1"/>
    <x v="2"/>
    <s v="yes tested"/>
    <x v="0"/>
    <x v="2"/>
    <n v="1"/>
    <n v="1"/>
    <s v="Base Pams"/>
    <n v="1"/>
    <n v="1"/>
    <n v="2"/>
    <n v="2"/>
    <n v="1"/>
    <n v="2"/>
    <n v="1"/>
    <n v="100"/>
  </r>
  <r>
    <n v="1"/>
    <x v="3"/>
    <s v="yes tested"/>
    <x v="0"/>
    <x v="3"/>
    <n v="1"/>
    <n v="1"/>
    <s v="Base Pams"/>
    <n v="1"/>
    <n v="1"/>
    <n v="2"/>
    <n v="2"/>
    <n v="1"/>
    <n v="2"/>
    <n v="1"/>
    <n v="100"/>
  </r>
  <r>
    <n v="1"/>
    <x v="4"/>
    <s v="yes tested"/>
    <x v="0"/>
    <x v="4"/>
    <n v="1"/>
    <n v="1"/>
    <s v="Base Pams"/>
    <n v="1"/>
    <n v="1"/>
    <n v="2"/>
    <n v="2"/>
    <n v="1"/>
    <n v="2"/>
    <n v="1"/>
    <n v="100"/>
  </r>
  <r>
    <n v="1"/>
    <x v="5"/>
    <s v="yes tested"/>
    <x v="0"/>
    <x v="5"/>
    <n v="1"/>
    <n v="1"/>
    <s v="Base Pams"/>
    <n v="1"/>
    <n v="1"/>
    <n v="2"/>
    <n v="2"/>
    <n v="1"/>
    <n v="2"/>
    <n v="1"/>
    <n v="100"/>
  </r>
  <r>
    <n v="1"/>
    <x v="6"/>
    <s v="yes tested"/>
    <x v="0"/>
    <x v="6"/>
    <n v="1"/>
    <n v="1"/>
    <s v="Ambitious Pams"/>
    <n v="1"/>
    <n v="1"/>
    <n v="1"/>
    <n v="1"/>
    <n v="3"/>
    <n v="3"/>
    <n v="2"/>
    <n v="100"/>
  </r>
  <r>
    <n v="1"/>
    <x v="7"/>
    <s v="yes tested"/>
    <x v="1"/>
    <x v="7"/>
    <n v="1"/>
    <n v="1"/>
    <s v="Base Pams"/>
    <n v="1"/>
    <n v="1"/>
    <n v="2"/>
    <n v="2"/>
    <n v="1"/>
    <n v="2"/>
    <n v="1"/>
    <n v="100"/>
  </r>
  <r>
    <n v="1"/>
    <x v="8"/>
    <s v="yes tested"/>
    <x v="1"/>
    <x v="8"/>
    <n v="1"/>
    <n v="1"/>
    <s v="Base Pams"/>
    <n v="1"/>
    <n v="1"/>
    <n v="2"/>
    <n v="2"/>
    <n v="1"/>
    <n v="2"/>
    <n v="1"/>
    <n v="100"/>
  </r>
  <r>
    <n v="1"/>
    <x v="9"/>
    <s v="yes tested"/>
    <x v="1"/>
    <x v="9"/>
    <n v="1"/>
    <n v="1"/>
    <s v="Base Pams"/>
    <n v="1"/>
    <n v="1"/>
    <n v="2"/>
    <n v="2"/>
    <n v="1"/>
    <n v="2"/>
    <n v="1"/>
    <n v="100"/>
  </r>
  <r>
    <n v="1"/>
    <x v="10"/>
    <s v="yes tested"/>
    <x v="1"/>
    <x v="10"/>
    <n v="1"/>
    <n v="1"/>
    <s v="Lim Pams"/>
    <n v="1"/>
    <n v="1"/>
    <n v="2"/>
    <n v="2"/>
    <n v="2"/>
    <n v="1"/>
    <n v="3"/>
    <n v="100"/>
  </r>
  <r>
    <n v="1"/>
    <x v="11"/>
    <s v="yes tested"/>
    <x v="1"/>
    <x v="11"/>
    <n v="1"/>
    <n v="1"/>
    <s v="No Pams"/>
    <n v="1"/>
    <n v="1"/>
    <n v="-1"/>
    <n v="-1"/>
    <n v="-1"/>
    <n v="1"/>
    <n v="3"/>
    <n v="100"/>
  </r>
  <r>
    <m/>
    <x v="12"/>
    <m/>
    <x v="2"/>
    <x v="12"/>
    <m/>
    <m/>
    <m/>
    <m/>
    <m/>
    <m/>
    <m/>
    <m/>
    <m/>
    <m/>
    <m/>
  </r>
  <r>
    <m/>
    <x v="12"/>
    <m/>
    <x v="2"/>
    <x v="12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"/>
    <x v="0"/>
    <s v="yes tested"/>
    <s v="base"/>
    <s v="NOPAMS"/>
    <n v="1"/>
    <n v="1"/>
    <s v="No Pams"/>
    <n v="1"/>
    <n v="1"/>
    <n v="-1"/>
    <n v="-1"/>
    <n v="-1"/>
    <n v="1"/>
    <n v="3"/>
    <n v="100"/>
  </r>
  <r>
    <n v="1"/>
    <x v="1"/>
    <s v="yes tested"/>
    <s v="base"/>
    <s v="LPAMS"/>
    <n v="1"/>
    <n v="1"/>
    <s v="Lim Pams"/>
    <n v="1"/>
    <n v="1"/>
    <n v="2"/>
    <n v="2"/>
    <n v="2"/>
    <n v="1"/>
    <n v="3"/>
    <n v="100"/>
  </r>
  <r>
    <n v="1"/>
    <x v="2"/>
    <s v="yes tested"/>
    <s v="base"/>
    <s v="CPAMSNOIRP"/>
    <n v="1"/>
    <n v="1"/>
    <s v="Base Pams"/>
    <n v="1"/>
    <n v="1"/>
    <n v="2"/>
    <n v="2"/>
    <n v="1"/>
    <n v="2"/>
    <n v="1"/>
    <n v="100"/>
  </r>
  <r>
    <n v="1"/>
    <x v="3"/>
    <s v="yes tested"/>
    <s v="base"/>
    <s v="CPAMSMRE"/>
    <n v="1"/>
    <n v="1"/>
    <s v="Base Pams"/>
    <n v="1"/>
    <n v="1"/>
    <n v="2"/>
    <n v="2"/>
    <n v="1"/>
    <n v="2"/>
    <n v="1"/>
    <n v="100"/>
  </r>
  <r>
    <n v="1"/>
    <x v="4"/>
    <s v="yes tested"/>
    <s v="base"/>
    <s v="CPAMSRE"/>
    <n v="1"/>
    <n v="1"/>
    <s v="Base Pams"/>
    <n v="1"/>
    <n v="1"/>
    <n v="2"/>
    <n v="2"/>
    <n v="1"/>
    <n v="2"/>
    <n v="1"/>
    <n v="100"/>
  </r>
  <r>
    <n v="1"/>
    <x v="5"/>
    <s v="yes tested"/>
    <s v="base"/>
    <s v="CPAMSIRP"/>
    <n v="1"/>
    <n v="1"/>
    <s v="Base Pams"/>
    <n v="1"/>
    <n v="1"/>
    <n v="2"/>
    <n v="2"/>
    <n v="1"/>
    <n v="2"/>
    <n v="1"/>
    <n v="100"/>
  </r>
  <r>
    <n v="1"/>
    <x v="6"/>
    <s v="yes tested"/>
    <s v="base"/>
    <s v="HPAMSIRP"/>
    <n v="1"/>
    <n v="1"/>
    <s v="Ambitious Pams"/>
    <n v="1"/>
    <n v="1"/>
    <n v="1"/>
    <n v="1"/>
    <n v="3"/>
    <n v="3"/>
    <n v="2"/>
    <n v="100"/>
  </r>
  <r>
    <n v="1"/>
    <x v="7"/>
    <s v="yes tested"/>
    <s v="sim1"/>
    <s v="CPAMSIRPTG"/>
    <n v="1"/>
    <n v="1"/>
    <s v="Base Pams"/>
    <n v="1"/>
    <n v="1"/>
    <n v="2"/>
    <n v="2"/>
    <n v="1"/>
    <n v="2"/>
    <n v="1"/>
    <n v="100"/>
  </r>
  <r>
    <n v="1"/>
    <x v="8"/>
    <s v="yes tested"/>
    <s v="sim1"/>
    <s v="CPAMSRETG"/>
    <n v="1"/>
    <n v="1"/>
    <s v="Base Pams"/>
    <n v="1"/>
    <n v="1"/>
    <n v="2"/>
    <n v="2"/>
    <n v="1"/>
    <n v="2"/>
    <n v="1"/>
    <n v="100"/>
  </r>
  <r>
    <n v="1"/>
    <x v="9"/>
    <s v="yes tested"/>
    <s v="sim1"/>
    <s v="CPAMSMRETG"/>
    <n v="1"/>
    <n v="1"/>
    <s v="Base Pams"/>
    <n v="1"/>
    <n v="1"/>
    <n v="2"/>
    <n v="2"/>
    <n v="1"/>
    <n v="2"/>
    <n v="1"/>
    <n v="100"/>
  </r>
  <r>
    <n v="1"/>
    <x v="10"/>
    <s v="yes tested"/>
    <s v="sim1"/>
    <s v="LPAMSMRETG"/>
    <n v="1"/>
    <n v="1"/>
    <s v="Lim Pams"/>
    <n v="1"/>
    <n v="1"/>
    <n v="2"/>
    <n v="2"/>
    <n v="2"/>
    <n v="1"/>
    <n v="3"/>
    <n v="100"/>
  </r>
  <r>
    <n v="1"/>
    <x v="11"/>
    <s v="yes tested"/>
    <s v="sim1"/>
    <s v="NOPAMSFCTG"/>
    <n v="1"/>
    <n v="1"/>
    <s v="No Pams"/>
    <n v="1"/>
    <n v="1"/>
    <n v="-1"/>
    <n v="-1"/>
    <n v="-1"/>
    <n v="1"/>
    <n v="3"/>
    <n v="100"/>
  </r>
  <r>
    <m/>
    <x v="12"/>
    <m/>
    <m/>
    <m/>
    <m/>
    <m/>
    <m/>
    <m/>
    <m/>
    <m/>
    <m/>
    <m/>
    <m/>
    <m/>
    <m/>
  </r>
  <r>
    <m/>
    <x v="12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19" firstHeaderRow="1" firstDataRow="1" firstDataCol="1"/>
  <pivotFields count="16">
    <pivotField showAll="0"/>
    <pivotField axis="axisRow" showAll="0">
      <items count="27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30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19" firstHeaderRow="1" firstDataRow="1" firstDataCol="1"/>
  <pivotFields count="16">
    <pivotField showAll="0"/>
    <pivotField axis="axisRow" showAll="0">
      <items count="30">
        <item m="1" x="24"/>
        <item m="1" x="16"/>
        <item x="0"/>
        <item x="5"/>
        <item m="1" x="13"/>
        <item m="1" x="17"/>
        <item x="3"/>
        <item x="2"/>
        <item m="1" x="22"/>
        <item x="4"/>
        <item m="1" x="25"/>
        <item x="6"/>
        <item m="1" x="23"/>
        <item x="1"/>
        <item m="1" x="18"/>
        <item m="1" x="19"/>
        <item m="1" x="27"/>
        <item m="1" x="20"/>
        <item x="7"/>
        <item x="11"/>
        <item m="1" x="21"/>
        <item m="1" x="26"/>
        <item m="1" x="14"/>
        <item m="1" x="15"/>
        <item m="1" x="28"/>
        <item x="8"/>
        <item x="10"/>
        <item x="9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 v="2"/>
    </i>
    <i>
      <x v="3"/>
    </i>
    <i>
      <x v="6"/>
    </i>
    <i>
      <x v="7"/>
    </i>
    <i>
      <x v="9"/>
    </i>
    <i>
      <x v="11"/>
    </i>
    <i>
      <x v="13"/>
    </i>
    <i>
      <x v="18"/>
    </i>
    <i>
      <x v="19"/>
    </i>
    <i>
      <x v="25"/>
    </i>
    <i>
      <x v="26"/>
    </i>
    <i>
      <x v="27"/>
    </i>
    <i>
      <x v="2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27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9" firstHeaderRow="1" firstDataRow="1" firstDataCol="1"/>
  <pivotFields count="16">
    <pivotField dataField="1" showAll="0"/>
    <pivotField axis="axisRow" showAll="0" sortType="ascending">
      <items count="27">
        <item x="5"/>
        <item m="1" x="13"/>
        <item m="1" x="16"/>
        <item x="3"/>
        <item x="2"/>
        <item x="4"/>
        <item m="1" x="20"/>
        <item x="7"/>
        <item x="9"/>
        <item x="8"/>
        <item m="1" x="15"/>
        <item x="6"/>
        <item m="1" x="21"/>
        <item x="1"/>
        <item m="1" x="17"/>
        <item m="1" x="22"/>
        <item x="10"/>
        <item x="0"/>
        <item m="1" x="24"/>
        <item m="1" x="18"/>
        <item m="1" x="25"/>
        <item x="11"/>
        <item m="1" x="19"/>
        <item m="1" x="23"/>
        <item m="1" x="14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3"/>
    </i>
    <i>
      <x v="4"/>
    </i>
    <i>
      <x v="5"/>
    </i>
    <i>
      <x v="7"/>
    </i>
    <i>
      <x v="8"/>
    </i>
    <i>
      <x v="9"/>
    </i>
    <i>
      <x v="11"/>
    </i>
    <i>
      <x v="13"/>
    </i>
    <i>
      <x v="16"/>
    </i>
    <i>
      <x v="17"/>
    </i>
    <i>
      <x v="21"/>
    </i>
    <i>
      <x v="2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9" firstHeaderRow="1" firstDataRow="1" firstDataCol="1"/>
  <pivotFields count="16">
    <pivotField showAll="0"/>
    <pivotField showAll="0"/>
    <pivotField showAll="0"/>
    <pivotField showAll="0"/>
    <pivotField axis="axisRow" showAll="0">
      <items count="26">
        <item m="1" x="22"/>
        <item x="5"/>
        <item m="1" x="17"/>
        <item x="12"/>
        <item m="1" x="19"/>
        <item m="1" x="15"/>
        <item x="6"/>
        <item x="0"/>
        <item m="1" x="18"/>
        <item x="7"/>
        <item x="11"/>
        <item m="1" x="16"/>
        <item m="1" x="14"/>
        <item m="1" x="20"/>
        <item m="1" x="13"/>
        <item m="1" x="24"/>
        <item x="2"/>
        <item x="3"/>
        <item x="4"/>
        <item x="8"/>
        <item x="1"/>
        <item m="1" x="23"/>
        <item m="1" x="21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3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9" firstHeaderRow="1" firstDataRow="1" firstDataCol="1"/>
  <pivotFields count="16">
    <pivotField showAll="0"/>
    <pivotField axis="axisRow" showAll="0">
      <items count="27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19" firstHeaderRow="1" firstDataRow="1" firstDataCol="1"/>
  <pivotFields count="16">
    <pivotField showAll="0"/>
    <pivotField axis="axisRow" showAll="0">
      <items count="27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9" firstHeaderRow="1" firstDataRow="1" firstDataCol="1"/>
  <pivotFields count="16">
    <pivotField showAll="0"/>
    <pivotField axis="axisRow" showAll="0">
      <items count="27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19" firstHeaderRow="0" firstDataRow="1" firstDataCol="1"/>
  <pivotFields count="16">
    <pivotField showAll="0"/>
    <pivotField axis="axisRow" showAll="0">
      <items count="27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1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3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1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m="1" x="19"/>
        <item x="5"/>
        <item m="1" x="13"/>
        <item m="1" x="20"/>
        <item m="1" x="16"/>
        <item x="12"/>
        <item x="0"/>
        <item m="1" x="24"/>
        <item m="1" x="18"/>
        <item m="1" x="25"/>
        <item x="7"/>
        <item x="1"/>
        <item x="6"/>
        <item m="1" x="15"/>
        <item m="1" x="23"/>
        <item m="1" x="14"/>
        <item x="11"/>
        <item m="1" x="21"/>
        <item m="1" x="17"/>
        <item x="2"/>
        <item x="3"/>
        <item m="1" x="22"/>
        <item x="4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m="1" x="22"/>
        <item x="5"/>
        <item m="1" x="17"/>
        <item x="12"/>
        <item m="1" x="19"/>
        <item m="1" x="15"/>
        <item x="6"/>
        <item x="0"/>
        <item m="1" x="18"/>
        <item x="7"/>
        <item x="11"/>
        <item m="1" x="16"/>
        <item m="1" x="14"/>
        <item m="1" x="20"/>
        <item m="1" x="13"/>
        <item m="1" x="24"/>
        <item x="2"/>
        <item x="3"/>
        <item x="4"/>
        <item x="8"/>
        <item x="1"/>
        <item m="1" x="23"/>
        <item m="1" x="21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3">
    <i>
      <x v="1"/>
      <x v="1"/>
    </i>
    <i>
      <x v="5"/>
      <x v="3"/>
    </i>
    <i>
      <x v="6"/>
      <x v="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0"/>
  <sheetViews>
    <sheetView workbookViewId="0">
      <selection activeCell="C16" sqref="C1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217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218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"Sets!"&amp;ADDRESS(ROW(Sets!Z7),COLUMN(Sets!Z7),4)</f>
        <v>Sets!Z7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"Sets!"&amp;ADDRESS(ROW(Sets!AA7),COLUMN(Sets!AA7),4)</f>
        <v>Sets!AA7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I51"/>
  <sheetViews>
    <sheetView workbookViewId="0">
      <selection activeCell="A16" sqref="A16"/>
    </sheetView>
  </sheetViews>
  <sheetFormatPr defaultRowHeight="15"/>
  <cols>
    <col min="1" max="1" width="21.85546875" bestFit="1" customWidth="1"/>
    <col min="2" max="2" width="13.5703125" style="8" bestFit="1" customWidth="1"/>
    <col min="3" max="4" width="13.140625" style="8" customWidth="1"/>
    <col min="5" max="5" width="21.85546875" style="8" bestFit="1" customWidth="1"/>
    <col min="6" max="6" width="23" style="8" bestFit="1" customWidth="1"/>
    <col min="7" max="7" width="21.85546875" style="8" bestFit="1" customWidth="1"/>
    <col min="8" max="8" width="19.85546875" style="8" bestFit="1" customWidth="1"/>
    <col min="9" max="9" width="21.85546875" style="8" bestFit="1" customWidth="1"/>
    <col min="10" max="10" width="18.5703125" style="8" bestFit="1" customWidth="1"/>
    <col min="11" max="11" width="21.85546875" style="8" bestFit="1" customWidth="1"/>
    <col min="12" max="12" width="20.7109375" style="8" bestFit="1" customWidth="1"/>
    <col min="13" max="13" width="21.8554687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1.8554687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5" width="20.140625" style="8" customWidth="1"/>
    <col min="26" max="26" width="10" style="15" bestFit="1" customWidth="1"/>
    <col min="27" max="27" width="11.5703125" style="15" bestFit="1" customWidth="1"/>
    <col min="28" max="29" width="23.140625" style="8" customWidth="1"/>
    <col min="30" max="30" width="16.7109375" customWidth="1"/>
    <col min="31" max="31" width="19" customWidth="1"/>
    <col min="33" max="34" width="9.140625" style="8"/>
  </cols>
  <sheetData>
    <row r="5" spans="1:35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207</v>
      </c>
      <c r="K5" s="1" t="s">
        <v>211</v>
      </c>
      <c r="M5" s="1" t="s">
        <v>212</v>
      </c>
      <c r="O5" s="1" t="s">
        <v>66</v>
      </c>
      <c r="Q5" s="1" t="s">
        <v>67</v>
      </c>
      <c r="S5" s="1" t="s">
        <v>163</v>
      </c>
      <c r="Z5" s="1" t="s">
        <v>53</v>
      </c>
      <c r="AA5" s="1" t="s">
        <v>56</v>
      </c>
      <c r="AI5" s="1" t="s">
        <v>27</v>
      </c>
    </row>
    <row r="6" spans="1:35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213</v>
      </c>
      <c r="M6" s="13" t="s">
        <v>33</v>
      </c>
      <c r="N6" t="s">
        <v>214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185</v>
      </c>
      <c r="U6" s="8" t="s">
        <v>186</v>
      </c>
      <c r="V6" s="8" t="s">
        <v>187</v>
      </c>
      <c r="W6" s="8" t="s">
        <v>188</v>
      </c>
      <c r="X6" s="8" t="s">
        <v>39</v>
      </c>
      <c r="Z6" s="15" t="s">
        <v>54</v>
      </c>
      <c r="AA6" s="15" t="s">
        <v>55</v>
      </c>
      <c r="AD6" s="8"/>
    </row>
    <row r="7" spans="1:35">
      <c r="A7" s="14" t="s">
        <v>197</v>
      </c>
      <c r="B7" s="14" t="s">
        <v>194</v>
      </c>
      <c r="C7" s="13" t="s">
        <v>30</v>
      </c>
      <c r="D7" s="14" t="s">
        <v>30</v>
      </c>
      <c r="E7" s="14" t="s">
        <v>195</v>
      </c>
      <c r="F7" s="3">
        <v>1</v>
      </c>
      <c r="G7" s="14" t="s">
        <v>195</v>
      </c>
      <c r="H7" s="3">
        <v>1</v>
      </c>
      <c r="I7" s="14" t="s">
        <v>195</v>
      </c>
      <c r="J7" s="3">
        <v>1</v>
      </c>
      <c r="K7" s="14" t="s">
        <v>195</v>
      </c>
      <c r="L7" s="3">
        <v>1</v>
      </c>
      <c r="M7" s="14" t="s">
        <v>195</v>
      </c>
      <c r="N7" s="3">
        <v>1</v>
      </c>
      <c r="O7" s="8" t="s">
        <v>195</v>
      </c>
      <c r="P7" s="8" t="s">
        <v>194</v>
      </c>
      <c r="Q7" s="8" t="s">
        <v>195</v>
      </c>
      <c r="R7" s="8" t="s">
        <v>30</v>
      </c>
      <c r="S7" s="14" t="s">
        <v>195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15">
        <v>2012</v>
      </c>
      <c r="AA7" s="15">
        <f>2051-Scenarios!G6</f>
        <v>2048</v>
      </c>
      <c r="AD7" s="8"/>
      <c r="AE7" s="8"/>
      <c r="AF7" s="8"/>
      <c r="AI7" t="s">
        <v>14</v>
      </c>
    </row>
    <row r="8" spans="1:35">
      <c r="A8" s="14" t="s">
        <v>195</v>
      </c>
      <c r="B8" s="14" t="s">
        <v>196</v>
      </c>
      <c r="C8" s="14" t="s">
        <v>31</v>
      </c>
      <c r="D8" s="14" t="s">
        <v>196</v>
      </c>
      <c r="E8" s="14" t="s">
        <v>215</v>
      </c>
      <c r="F8" s="3">
        <v>1</v>
      </c>
      <c r="G8" s="14" t="s">
        <v>196</v>
      </c>
      <c r="H8" s="3"/>
      <c r="I8" s="14" t="s">
        <v>196</v>
      </c>
      <c r="J8" s="3"/>
      <c r="K8" s="14" t="s">
        <v>196</v>
      </c>
      <c r="L8" s="3"/>
      <c r="M8" s="14" t="s">
        <v>196</v>
      </c>
      <c r="N8" s="3"/>
      <c r="O8" s="8" t="s">
        <v>196</v>
      </c>
      <c r="P8" s="8" t="s">
        <v>196</v>
      </c>
      <c r="Q8" s="8" t="s">
        <v>196</v>
      </c>
      <c r="R8" s="8" t="s">
        <v>196</v>
      </c>
      <c r="S8" s="14" t="s">
        <v>196</v>
      </c>
      <c r="T8" s="3"/>
      <c r="U8" s="3"/>
      <c r="V8" s="3"/>
      <c r="W8" s="3"/>
      <c r="X8" s="3"/>
      <c r="Y8" s="3"/>
      <c r="Z8" s="15">
        <v>2013</v>
      </c>
      <c r="AA8" s="15">
        <f>IF(OR(AA7=2050,AA7=""),"",AA7+1)</f>
        <v>2049</v>
      </c>
      <c r="AD8" s="8"/>
      <c r="AE8" s="8"/>
      <c r="AF8" s="8"/>
      <c r="AI8" s="8" t="s">
        <v>15</v>
      </c>
    </row>
    <row r="9" spans="1:35">
      <c r="A9" s="14" t="s">
        <v>215</v>
      </c>
      <c r="B9" s="14" t="s">
        <v>200</v>
      </c>
      <c r="C9" s="14" t="s">
        <v>32</v>
      </c>
      <c r="D9" s="14" t="s">
        <v>31</v>
      </c>
      <c r="E9" s="14" t="s">
        <v>209</v>
      </c>
      <c r="F9" s="3">
        <v>1</v>
      </c>
      <c r="G9" s="14" t="s">
        <v>197</v>
      </c>
      <c r="H9" s="3">
        <v>1</v>
      </c>
      <c r="I9" s="14" t="s">
        <v>197</v>
      </c>
      <c r="J9" s="3">
        <v>1</v>
      </c>
      <c r="K9" s="14" t="s">
        <v>197</v>
      </c>
      <c r="L9" s="3">
        <v>1</v>
      </c>
      <c r="M9" s="14" t="s">
        <v>197</v>
      </c>
      <c r="N9" s="3">
        <v>1</v>
      </c>
      <c r="O9" s="8" t="s">
        <v>197</v>
      </c>
      <c r="P9" s="8" t="s">
        <v>201</v>
      </c>
      <c r="Q9" s="8" t="s">
        <v>197</v>
      </c>
      <c r="R9" s="8" t="s">
        <v>30</v>
      </c>
      <c r="S9" s="14" t="s">
        <v>197</v>
      </c>
      <c r="T9" s="3">
        <v>-1</v>
      </c>
      <c r="U9" s="3">
        <v>-1</v>
      </c>
      <c r="V9" s="3">
        <v>-1</v>
      </c>
      <c r="W9" s="3">
        <v>1</v>
      </c>
      <c r="X9" s="3">
        <v>3</v>
      </c>
      <c r="Y9" s="3"/>
      <c r="Z9" s="15">
        <v>2014</v>
      </c>
      <c r="AA9" s="15">
        <f t="shared" ref="AA9:AA13" si="0">IF(OR(AA8=2050,AA8=""),"",AA8+1)</f>
        <v>2050</v>
      </c>
      <c r="AD9" s="8"/>
      <c r="AE9" s="8"/>
      <c r="AF9" s="8"/>
      <c r="AI9" s="8" t="s">
        <v>16</v>
      </c>
    </row>
    <row r="10" spans="1:35">
      <c r="A10" s="14" t="s">
        <v>209</v>
      </c>
      <c r="B10" s="14" t="s">
        <v>201</v>
      </c>
      <c r="C10" s="14" t="s">
        <v>46</v>
      </c>
      <c r="D10"/>
      <c r="E10" s="14" t="s">
        <v>223</v>
      </c>
      <c r="F10" s="3">
        <v>1</v>
      </c>
      <c r="G10" s="14" t="s">
        <v>198</v>
      </c>
      <c r="H10" s="3">
        <v>1</v>
      </c>
      <c r="I10" s="14" t="s">
        <v>198</v>
      </c>
      <c r="J10" s="3">
        <v>1</v>
      </c>
      <c r="K10" s="14" t="s">
        <v>198</v>
      </c>
      <c r="L10" s="3">
        <v>1</v>
      </c>
      <c r="M10" s="14" t="s">
        <v>198</v>
      </c>
      <c r="N10" s="3">
        <v>1</v>
      </c>
      <c r="O10" s="8" t="s">
        <v>198</v>
      </c>
      <c r="P10" s="8" t="s">
        <v>203</v>
      </c>
      <c r="Q10" s="8" t="s">
        <v>198</v>
      </c>
      <c r="R10" s="8" t="s">
        <v>31</v>
      </c>
      <c r="S10" s="14" t="s">
        <v>198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15">
        <v>2015</v>
      </c>
      <c r="AA10" s="15" t="str">
        <f t="shared" si="0"/>
        <v/>
      </c>
      <c r="AD10" s="8"/>
      <c r="AE10" s="8"/>
      <c r="AF10" s="8"/>
      <c r="AI10" s="8" t="s">
        <v>17</v>
      </c>
    </row>
    <row r="11" spans="1:35">
      <c r="A11" s="14" t="s">
        <v>223</v>
      </c>
      <c r="B11" s="14" t="s">
        <v>203</v>
      </c>
      <c r="C11" s="14" t="s">
        <v>47</v>
      </c>
      <c r="D11"/>
      <c r="E11" s="14" t="s">
        <v>198</v>
      </c>
      <c r="F11" s="3">
        <v>1</v>
      </c>
      <c r="G11" s="14" t="s">
        <v>221</v>
      </c>
      <c r="H11" s="3">
        <v>1</v>
      </c>
      <c r="I11" s="14" t="s">
        <v>221</v>
      </c>
      <c r="J11" s="3">
        <v>1</v>
      </c>
      <c r="K11" s="14" t="s">
        <v>221</v>
      </c>
      <c r="L11" s="3">
        <v>1</v>
      </c>
      <c r="M11" s="14" t="s">
        <v>221</v>
      </c>
      <c r="N11" s="3">
        <v>1</v>
      </c>
      <c r="O11" s="8" t="s">
        <v>221</v>
      </c>
      <c r="P11" s="8" t="s">
        <v>222</v>
      </c>
      <c r="Q11" s="8" t="s">
        <v>221</v>
      </c>
      <c r="R11" s="8" t="s">
        <v>30</v>
      </c>
      <c r="S11" s="14" t="s">
        <v>221</v>
      </c>
      <c r="T11" s="3">
        <v>2</v>
      </c>
      <c r="U11" s="3">
        <v>2</v>
      </c>
      <c r="V11" s="3">
        <v>2</v>
      </c>
      <c r="W11" s="3">
        <v>1</v>
      </c>
      <c r="X11" s="3">
        <v>3</v>
      </c>
      <c r="Z11" s="15">
        <v>2016</v>
      </c>
      <c r="AA11" s="15" t="str">
        <f t="shared" si="0"/>
        <v/>
      </c>
      <c r="AD11" s="8"/>
      <c r="AE11" s="8"/>
      <c r="AF11" s="8"/>
      <c r="AI11" s="8" t="s">
        <v>18</v>
      </c>
    </row>
    <row r="12" spans="1:35">
      <c r="A12" s="14" t="s">
        <v>199</v>
      </c>
      <c r="B12" s="14" t="s">
        <v>204</v>
      </c>
      <c r="C12" s="14" t="s">
        <v>48</v>
      </c>
      <c r="D12" s="14"/>
      <c r="E12" s="14" t="s">
        <v>227</v>
      </c>
      <c r="F12" s="3">
        <v>1</v>
      </c>
      <c r="G12" s="14" t="s">
        <v>199</v>
      </c>
      <c r="H12" s="3">
        <v>1</v>
      </c>
      <c r="I12" s="14" t="s">
        <v>199</v>
      </c>
      <c r="J12" s="3">
        <v>1</v>
      </c>
      <c r="K12" s="14" t="s">
        <v>199</v>
      </c>
      <c r="L12" s="3">
        <v>1</v>
      </c>
      <c r="M12" s="14" t="s">
        <v>199</v>
      </c>
      <c r="N12" s="3">
        <v>1</v>
      </c>
      <c r="O12" s="8" t="s">
        <v>199</v>
      </c>
      <c r="P12" s="8" t="s">
        <v>200</v>
      </c>
      <c r="Q12" s="8" t="s">
        <v>199</v>
      </c>
      <c r="R12" s="8" t="s">
        <v>30</v>
      </c>
      <c r="S12" s="14" t="s">
        <v>199</v>
      </c>
      <c r="T12" s="3">
        <v>1</v>
      </c>
      <c r="U12" s="3">
        <v>1</v>
      </c>
      <c r="V12" s="3">
        <v>3</v>
      </c>
      <c r="W12" s="3">
        <v>3</v>
      </c>
      <c r="X12" s="3">
        <v>2</v>
      </c>
      <c r="Z12" s="15">
        <v>2017</v>
      </c>
      <c r="AA12" s="15" t="str">
        <f t="shared" si="0"/>
        <v/>
      </c>
      <c r="AD12" s="8"/>
      <c r="AE12" s="8"/>
      <c r="AF12" s="8"/>
      <c r="AI12" s="8" t="s">
        <v>19</v>
      </c>
    </row>
    <row r="13" spans="1:35">
      <c r="A13" s="14" t="s">
        <v>221</v>
      </c>
      <c r="B13" s="14" t="s">
        <v>210</v>
      </c>
      <c r="C13" s="14" t="s">
        <v>49</v>
      </c>
      <c r="D13" s="14"/>
      <c r="E13" s="14" t="s">
        <v>224</v>
      </c>
      <c r="F13" s="3">
        <v>1</v>
      </c>
      <c r="G13" s="14" t="s">
        <v>202</v>
      </c>
      <c r="H13" s="3">
        <v>1</v>
      </c>
      <c r="I13" s="14" t="s">
        <v>202</v>
      </c>
      <c r="J13" s="3">
        <v>1</v>
      </c>
      <c r="K13" s="14" t="s">
        <v>202</v>
      </c>
      <c r="L13" s="3">
        <v>1</v>
      </c>
      <c r="M13" s="14" t="s">
        <v>202</v>
      </c>
      <c r="N13" s="3">
        <v>1</v>
      </c>
      <c r="O13" s="8" t="s">
        <v>202</v>
      </c>
      <c r="P13" s="8" t="s">
        <v>204</v>
      </c>
      <c r="Q13" s="8" t="s">
        <v>202</v>
      </c>
      <c r="R13" s="8" t="s">
        <v>31</v>
      </c>
      <c r="S13" s="14" t="s">
        <v>202</v>
      </c>
      <c r="T13" s="3">
        <v>-1</v>
      </c>
      <c r="U13" s="3">
        <v>-1</v>
      </c>
      <c r="V13" s="3">
        <v>-1</v>
      </c>
      <c r="W13" s="3">
        <v>1</v>
      </c>
      <c r="X13" s="3">
        <v>3</v>
      </c>
      <c r="Z13" s="15">
        <v>2018</v>
      </c>
      <c r="AA13" s="15" t="str">
        <f t="shared" si="0"/>
        <v/>
      </c>
      <c r="AD13" s="8"/>
      <c r="AE13" s="8"/>
      <c r="AF13" s="8"/>
      <c r="AI13" s="8" t="s">
        <v>20</v>
      </c>
    </row>
    <row r="14" spans="1:35">
      <c r="A14" s="14" t="s">
        <v>198</v>
      </c>
      <c r="B14" s="14" t="s">
        <v>216</v>
      </c>
      <c r="C14" s="14" t="s">
        <v>50</v>
      </c>
      <c r="D14" s="14"/>
      <c r="E14" s="14" t="s">
        <v>199</v>
      </c>
      <c r="F14" s="3">
        <v>1</v>
      </c>
      <c r="G14" s="14" t="s">
        <v>209</v>
      </c>
      <c r="H14" s="3">
        <v>1</v>
      </c>
      <c r="I14" s="14" t="s">
        <v>209</v>
      </c>
      <c r="J14" s="3">
        <v>1</v>
      </c>
      <c r="K14" s="14" t="s">
        <v>209</v>
      </c>
      <c r="L14" s="3">
        <v>1</v>
      </c>
      <c r="M14" s="14" t="s">
        <v>209</v>
      </c>
      <c r="N14" s="3">
        <v>1</v>
      </c>
      <c r="O14" s="8" t="s">
        <v>209</v>
      </c>
      <c r="P14" s="8" t="s">
        <v>210</v>
      </c>
      <c r="Q14" s="8" t="s">
        <v>209</v>
      </c>
      <c r="R14" s="8" t="s">
        <v>30</v>
      </c>
      <c r="S14" s="14" t="s">
        <v>209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Z14" s="15">
        <v>2019</v>
      </c>
      <c r="AD14" s="8"/>
      <c r="AE14" s="8"/>
      <c r="AF14" s="8"/>
      <c r="AI14" s="8" t="s">
        <v>21</v>
      </c>
    </row>
    <row r="15" spans="1:35">
      <c r="A15" s="14" t="s">
        <v>202</v>
      </c>
      <c r="B15" s="14" t="s">
        <v>219</v>
      </c>
      <c r="C15" s="14" t="s">
        <v>51</v>
      </c>
      <c r="D15" s="14"/>
      <c r="E15" s="14" t="s">
        <v>221</v>
      </c>
      <c r="F15" s="3">
        <v>1</v>
      </c>
      <c r="G15" s="14" t="s">
        <v>215</v>
      </c>
      <c r="H15" s="3">
        <v>1</v>
      </c>
      <c r="I15" s="14" t="s">
        <v>215</v>
      </c>
      <c r="J15" s="3">
        <v>1</v>
      </c>
      <c r="K15" s="14" t="s">
        <v>215</v>
      </c>
      <c r="L15" s="3">
        <v>1</v>
      </c>
      <c r="M15" s="14" t="s">
        <v>215</v>
      </c>
      <c r="N15" s="3">
        <v>1</v>
      </c>
      <c r="O15" s="8" t="s">
        <v>215</v>
      </c>
      <c r="P15" s="8" t="s">
        <v>216</v>
      </c>
      <c r="Q15" s="8" t="s">
        <v>215</v>
      </c>
      <c r="R15" s="8" t="s">
        <v>30</v>
      </c>
      <c r="S15" s="14" t="s">
        <v>215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Z15" s="15">
        <v>2020</v>
      </c>
      <c r="AD15" s="8"/>
      <c r="AE15" s="8"/>
      <c r="AF15" s="8"/>
      <c r="AI15" s="8" t="s">
        <v>22</v>
      </c>
    </row>
    <row r="16" spans="1:35">
      <c r="A16" s="14" t="s">
        <v>224</v>
      </c>
      <c r="B16" s="14" t="s">
        <v>220</v>
      </c>
      <c r="C16" s="14" t="s">
        <v>52</v>
      </c>
      <c r="D16" s="14"/>
      <c r="E16" s="14" t="s">
        <v>225</v>
      </c>
      <c r="F16" s="3">
        <v>1</v>
      </c>
      <c r="G16" s="14" t="s">
        <v>223</v>
      </c>
      <c r="H16" s="3">
        <v>1</v>
      </c>
      <c r="I16" s="14" t="s">
        <v>223</v>
      </c>
      <c r="J16" s="3">
        <v>1</v>
      </c>
      <c r="K16" s="14" t="s">
        <v>223</v>
      </c>
      <c r="L16" s="3">
        <v>1</v>
      </c>
      <c r="M16" s="14" t="s">
        <v>223</v>
      </c>
      <c r="N16" s="3">
        <v>1</v>
      </c>
      <c r="O16" s="8" t="s">
        <v>223</v>
      </c>
      <c r="P16" s="8" t="s">
        <v>219</v>
      </c>
      <c r="Q16" s="8" t="s">
        <v>223</v>
      </c>
      <c r="R16" s="8" t="s">
        <v>30</v>
      </c>
      <c r="S16" s="14" t="s">
        <v>223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Z16" s="15">
        <v>2021</v>
      </c>
      <c r="AD16" s="8"/>
      <c r="AE16" s="8"/>
      <c r="AF16" s="8"/>
      <c r="AI16" s="8" t="s">
        <v>5</v>
      </c>
    </row>
    <row r="17" spans="1:35">
      <c r="A17" s="14" t="s">
        <v>225</v>
      </c>
      <c r="B17" s="14" t="s">
        <v>222</v>
      </c>
      <c r="E17" s="14" t="s">
        <v>197</v>
      </c>
      <c r="F17" s="3">
        <v>1</v>
      </c>
      <c r="G17" s="14" t="s">
        <v>224</v>
      </c>
      <c r="H17" s="3">
        <v>1</v>
      </c>
      <c r="I17" s="14" t="s">
        <v>224</v>
      </c>
      <c r="J17" s="3">
        <v>1</v>
      </c>
      <c r="K17" s="14" t="s">
        <v>224</v>
      </c>
      <c r="L17" s="3">
        <v>1</v>
      </c>
      <c r="M17" s="14" t="s">
        <v>224</v>
      </c>
      <c r="N17" s="3">
        <v>1</v>
      </c>
      <c r="O17" s="8" t="s">
        <v>224</v>
      </c>
      <c r="P17" s="8" t="s">
        <v>220</v>
      </c>
      <c r="Q17" s="8" t="s">
        <v>224</v>
      </c>
      <c r="R17" s="8" t="s">
        <v>31</v>
      </c>
      <c r="S17" s="14" t="s">
        <v>224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Z17" s="15">
        <v>2022</v>
      </c>
      <c r="AB17"/>
      <c r="AD17" s="8"/>
      <c r="AE17" s="8"/>
      <c r="AF17" s="8"/>
      <c r="AI17" s="8" t="s">
        <v>23</v>
      </c>
    </row>
    <row r="18" spans="1:35">
      <c r="A18" s="14" t="s">
        <v>227</v>
      </c>
      <c r="B18" s="14" t="s">
        <v>226</v>
      </c>
      <c r="E18" s="14" t="s">
        <v>202</v>
      </c>
      <c r="F18" s="3">
        <v>1</v>
      </c>
      <c r="G18" s="14" t="s">
        <v>225</v>
      </c>
      <c r="H18" s="3">
        <v>1</v>
      </c>
      <c r="I18" s="14" t="s">
        <v>225</v>
      </c>
      <c r="J18" s="3">
        <v>1</v>
      </c>
      <c r="K18" s="14" t="s">
        <v>225</v>
      </c>
      <c r="L18" s="3">
        <v>1</v>
      </c>
      <c r="M18" s="14" t="s">
        <v>225</v>
      </c>
      <c r="N18" s="3">
        <v>1</v>
      </c>
      <c r="O18" s="8" t="s">
        <v>225</v>
      </c>
      <c r="P18" s="8" t="s">
        <v>226</v>
      </c>
      <c r="Q18" s="8" t="s">
        <v>225</v>
      </c>
      <c r="R18" s="8" t="s">
        <v>31</v>
      </c>
      <c r="S18" s="14" t="s">
        <v>225</v>
      </c>
      <c r="T18" s="3">
        <v>2</v>
      </c>
      <c r="U18" s="3">
        <v>2</v>
      </c>
      <c r="V18" s="3">
        <v>2</v>
      </c>
      <c r="W18" s="3">
        <v>1</v>
      </c>
      <c r="X18" s="3">
        <v>3</v>
      </c>
      <c r="Z18" s="15">
        <v>2023</v>
      </c>
      <c r="AB18"/>
      <c r="AD18" s="8"/>
      <c r="AE18" s="8"/>
      <c r="AF18" s="8"/>
      <c r="AI18" s="8" t="s">
        <v>25</v>
      </c>
    </row>
    <row r="19" spans="1:35">
      <c r="A19" s="14" t="s">
        <v>196</v>
      </c>
      <c r="B19" s="14" t="s">
        <v>228</v>
      </c>
      <c r="E19" s="14" t="s">
        <v>196</v>
      </c>
      <c r="F19" s="3">
        <v>0</v>
      </c>
      <c r="G19" s="14" t="s">
        <v>227</v>
      </c>
      <c r="H19" s="3">
        <v>1</v>
      </c>
      <c r="I19" s="14" t="s">
        <v>227</v>
      </c>
      <c r="J19" s="3">
        <v>1</v>
      </c>
      <c r="K19" s="14" t="s">
        <v>227</v>
      </c>
      <c r="L19" s="3">
        <v>1</v>
      </c>
      <c r="M19" s="14" t="s">
        <v>227</v>
      </c>
      <c r="N19" s="3">
        <v>1</v>
      </c>
      <c r="O19" s="8" t="s">
        <v>227</v>
      </c>
      <c r="P19" s="8" t="s">
        <v>228</v>
      </c>
      <c r="Q19" s="8" t="s">
        <v>227</v>
      </c>
      <c r="R19" s="8" t="s">
        <v>31</v>
      </c>
      <c r="S19" s="14" t="s">
        <v>227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Z19" s="15">
        <v>2024</v>
      </c>
      <c r="AD19" s="8"/>
      <c r="AE19" s="8"/>
      <c r="AF19" s="8"/>
      <c r="AI19" s="8" t="s">
        <v>24</v>
      </c>
    </row>
    <row r="20" spans="1:35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Z20" s="15">
        <v>2025</v>
      </c>
      <c r="AD20" s="8"/>
      <c r="AE20" s="8"/>
      <c r="AF20" s="8"/>
      <c r="AI20" s="8" t="s">
        <v>11</v>
      </c>
    </row>
    <row r="21" spans="1:35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Z21" s="15">
        <v>2026</v>
      </c>
      <c r="AD21" s="8"/>
      <c r="AE21" s="8"/>
      <c r="AF21" s="8"/>
      <c r="AI21" s="8" t="s">
        <v>11</v>
      </c>
    </row>
    <row r="22" spans="1:35">
      <c r="B22"/>
      <c r="E22"/>
      <c r="Q22"/>
      <c r="R22"/>
      <c r="Z22" s="15">
        <v>2027</v>
      </c>
      <c r="AD22" s="8"/>
      <c r="AE22" s="8"/>
      <c r="AF22" s="8"/>
      <c r="AI22" s="8" t="s">
        <v>11</v>
      </c>
    </row>
    <row r="23" spans="1:35">
      <c r="B23"/>
      <c r="E23"/>
      <c r="Q23"/>
      <c r="R23"/>
      <c r="Z23" s="15">
        <v>2028</v>
      </c>
      <c r="AD23" s="8"/>
      <c r="AE23" s="8"/>
      <c r="AF23" s="8"/>
      <c r="AI23" s="8" t="s">
        <v>11</v>
      </c>
    </row>
    <row r="24" spans="1:35">
      <c r="A24" s="8"/>
      <c r="Z24" s="15">
        <v>2029</v>
      </c>
      <c r="AD24" s="8"/>
      <c r="AE24" s="8"/>
      <c r="AF24" s="8"/>
      <c r="AI24" s="8"/>
    </row>
    <row r="25" spans="1:35">
      <c r="A25" s="8"/>
      <c r="Z25" s="15">
        <v>2030</v>
      </c>
      <c r="AD25" s="8"/>
      <c r="AE25" s="8"/>
      <c r="AF25" s="8"/>
      <c r="AI25" s="8"/>
    </row>
    <row r="26" spans="1:35">
      <c r="A26" s="8"/>
      <c r="Z26" s="15">
        <v>2031</v>
      </c>
      <c r="AD26" s="8"/>
      <c r="AE26" s="8"/>
      <c r="AF26" s="8"/>
      <c r="AI26" s="8"/>
    </row>
    <row r="27" spans="1:35">
      <c r="A27" s="8"/>
      <c r="Z27" s="15">
        <v>2032</v>
      </c>
      <c r="AD27" s="8"/>
      <c r="AE27" s="8"/>
      <c r="AF27" s="8"/>
      <c r="AI27" s="8"/>
    </row>
    <row r="28" spans="1:35">
      <c r="A28" s="8"/>
      <c r="Z28" s="15">
        <v>2033</v>
      </c>
      <c r="AD28" s="8"/>
      <c r="AE28" s="8"/>
      <c r="AF28" s="8"/>
      <c r="AI28" s="8"/>
    </row>
    <row r="29" spans="1:35">
      <c r="A29" s="8"/>
      <c r="Z29" s="15">
        <v>2034</v>
      </c>
      <c r="AD29" s="8"/>
      <c r="AE29" s="8"/>
      <c r="AF29" s="8"/>
      <c r="AI29" s="8"/>
    </row>
    <row r="30" spans="1:35">
      <c r="A30" s="8"/>
      <c r="Z30" s="15">
        <v>2035</v>
      </c>
      <c r="AD30" s="8"/>
      <c r="AE30" s="8"/>
      <c r="AF30" s="8"/>
      <c r="AI30" s="8"/>
    </row>
    <row r="31" spans="1:35">
      <c r="A31" s="8"/>
      <c r="Z31" s="15">
        <v>2036</v>
      </c>
      <c r="AD31" s="8"/>
      <c r="AE31" s="8"/>
      <c r="AF31" s="8"/>
      <c r="AI31" s="8"/>
    </row>
    <row r="32" spans="1:35">
      <c r="A32" s="8"/>
      <c r="Z32" s="15">
        <v>2037</v>
      </c>
      <c r="AD32" s="8"/>
      <c r="AE32" s="8"/>
      <c r="AF32" s="8"/>
      <c r="AI32" s="8"/>
    </row>
    <row r="33" spans="1:35">
      <c r="A33" s="8"/>
      <c r="Z33" s="15">
        <v>2038</v>
      </c>
      <c r="AD33" s="8"/>
      <c r="AE33" s="8"/>
      <c r="AF33" s="8"/>
      <c r="AI33" s="8"/>
    </row>
    <row r="34" spans="1:35">
      <c r="A34" s="8"/>
      <c r="Z34" s="15">
        <v>2039</v>
      </c>
      <c r="AD34" s="8"/>
      <c r="AE34" s="8"/>
      <c r="AF34" s="8"/>
      <c r="AI34" s="8"/>
    </row>
    <row r="35" spans="1:35">
      <c r="A35" s="8"/>
      <c r="Z35" s="15">
        <v>2040</v>
      </c>
      <c r="AD35" s="8"/>
      <c r="AE35" s="8"/>
      <c r="AF35" s="8"/>
      <c r="AI35" s="8"/>
    </row>
    <row r="36" spans="1:35">
      <c r="A36" s="8"/>
      <c r="Z36" s="15">
        <v>2041</v>
      </c>
      <c r="AD36" s="8"/>
      <c r="AE36" s="8"/>
      <c r="AF36" s="8"/>
      <c r="AI36" s="8"/>
    </row>
    <row r="37" spans="1:35">
      <c r="A37" s="8"/>
      <c r="Z37" s="15">
        <v>2042</v>
      </c>
      <c r="AD37" s="8"/>
      <c r="AE37" s="8"/>
      <c r="AF37" s="8"/>
      <c r="AI37" s="8"/>
    </row>
    <row r="38" spans="1:35">
      <c r="A38" s="8"/>
      <c r="Z38" s="15">
        <v>2043</v>
      </c>
      <c r="AD38" s="8"/>
      <c r="AE38" s="8"/>
      <c r="AF38" s="8"/>
      <c r="AI38" s="8"/>
    </row>
    <row r="39" spans="1:35">
      <c r="A39" s="8"/>
      <c r="Z39" s="15">
        <v>2044</v>
      </c>
      <c r="AD39" s="8"/>
      <c r="AE39" s="8"/>
      <c r="AF39" s="8"/>
      <c r="AI39" s="8"/>
    </row>
    <row r="40" spans="1:35">
      <c r="A40" s="8"/>
      <c r="Z40" s="15">
        <v>2045</v>
      </c>
      <c r="AD40" s="8"/>
      <c r="AE40" s="8"/>
      <c r="AF40" s="8"/>
      <c r="AI40" s="8"/>
    </row>
    <row r="41" spans="1:35">
      <c r="A41" s="8"/>
      <c r="Z41" s="15">
        <v>2046</v>
      </c>
      <c r="AD41" s="8"/>
      <c r="AE41" s="8"/>
      <c r="AF41" s="8"/>
      <c r="AI41" s="8"/>
    </row>
    <row r="42" spans="1:35">
      <c r="A42" s="8"/>
      <c r="Z42" s="15">
        <v>2047</v>
      </c>
      <c r="AD42" s="8"/>
      <c r="AE42" s="8"/>
      <c r="AF42" s="8"/>
      <c r="AI42" s="8"/>
    </row>
    <row r="43" spans="1:35">
      <c r="A43" s="8"/>
      <c r="Z43" s="15">
        <v>2048</v>
      </c>
      <c r="AD43" s="8"/>
      <c r="AE43" s="8"/>
      <c r="AF43" s="8"/>
      <c r="AI43" s="8"/>
    </row>
    <row r="44" spans="1:35">
      <c r="A44" s="8"/>
      <c r="Z44" s="15">
        <v>2049</v>
      </c>
      <c r="AD44" s="8"/>
      <c r="AE44" s="8"/>
      <c r="AF44" s="8"/>
      <c r="AI44" s="8"/>
    </row>
    <row r="45" spans="1:35">
      <c r="A45" s="8"/>
      <c r="Z45" s="15">
        <v>2050</v>
      </c>
      <c r="AD45" s="8"/>
      <c r="AE45" s="8"/>
      <c r="AF45" s="8"/>
      <c r="AI45" s="8"/>
    </row>
    <row r="46" spans="1:35">
      <c r="A46" s="8"/>
      <c r="AD46" s="8"/>
      <c r="AE46" s="8"/>
      <c r="AF46" s="8"/>
    </row>
    <row r="47" spans="1:35">
      <c r="A47" s="8"/>
      <c r="AD47" s="8"/>
      <c r="AE47" s="8"/>
      <c r="AF47" s="8"/>
    </row>
    <row r="48" spans="1:35">
      <c r="A48" s="8"/>
      <c r="AD48" s="8"/>
      <c r="AE48" s="8"/>
      <c r="AF48" s="8"/>
    </row>
    <row r="49" spans="1:32">
      <c r="A49" s="8"/>
      <c r="AD49" s="8"/>
      <c r="AE49" s="8"/>
      <c r="AF49" s="8"/>
    </row>
    <row r="50" spans="1:32">
      <c r="A50" s="8"/>
      <c r="AD50" s="8"/>
      <c r="AE50" s="8"/>
      <c r="AF50" s="8"/>
    </row>
    <row r="51" spans="1:32">
      <c r="A51" s="8"/>
      <c r="AD51" s="8"/>
      <c r="AE51" s="8"/>
      <c r="AF51" s="8"/>
    </row>
  </sheetData>
  <phoneticPr fontId="34" type="noConversion"/>
  <pageMargins left="0.7" right="0.7" top="0.75" bottom="0.75" header="0.3" footer="0.3"/>
  <pageSetup paperSize="9" orientation="portrait"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20"/>
  <sheetViews>
    <sheetView tabSelected="1" workbookViewId="0">
      <selection activeCell="F8" sqref="F8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1">
      <c r="A1" s="8" t="s">
        <v>208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189</v>
      </c>
      <c r="K1" s="8">
        <v>-1</v>
      </c>
      <c r="L1" s="8">
        <v>-1</v>
      </c>
      <c r="M1" s="8">
        <v>-1</v>
      </c>
      <c r="N1" s="8">
        <v>1</v>
      </c>
      <c r="O1" s="8">
        <v>3</v>
      </c>
    </row>
    <row r="2" spans="1:51">
      <c r="B2" s="8"/>
      <c r="E2" s="8"/>
      <c r="J2" s="8" t="s">
        <v>190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1">
      <c r="B3" s="8"/>
      <c r="E3" s="8"/>
      <c r="J3" s="8" t="s">
        <v>191</v>
      </c>
      <c r="K3" s="8">
        <v>2</v>
      </c>
      <c r="L3" s="8">
        <v>2</v>
      </c>
      <c r="M3" s="8">
        <v>2</v>
      </c>
      <c r="N3" s="8">
        <v>1</v>
      </c>
      <c r="O3" s="8">
        <v>3</v>
      </c>
    </row>
    <row r="4" spans="1:51">
      <c r="B4" s="8"/>
      <c r="E4" s="8"/>
      <c r="J4" s="8" t="s">
        <v>192</v>
      </c>
      <c r="K4" s="8">
        <v>1</v>
      </c>
      <c r="L4" s="8">
        <v>1</v>
      </c>
      <c r="M4" s="8">
        <v>3</v>
      </c>
      <c r="N4" s="8">
        <v>3</v>
      </c>
      <c r="O4" s="8">
        <v>2</v>
      </c>
    </row>
    <row r="5" spans="1:51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</row>
    <row r="6" spans="1:51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7" t="s">
        <v>26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</row>
    <row r="7" spans="1:51" ht="45">
      <c r="A7" s="7" t="s">
        <v>9</v>
      </c>
      <c r="B7" s="2" t="s">
        <v>35</v>
      </c>
      <c r="C7" s="2" t="s">
        <v>205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193</v>
      </c>
      <c r="I7" s="9" t="s">
        <v>36</v>
      </c>
      <c r="J7" s="9" t="s">
        <v>37</v>
      </c>
      <c r="K7" s="9" t="s">
        <v>180</v>
      </c>
      <c r="L7" s="9" t="s">
        <v>181</v>
      </c>
      <c r="M7" s="9" t="s">
        <v>182</v>
      </c>
      <c r="N7" s="9" t="s">
        <v>184</v>
      </c>
      <c r="O7" s="9" t="s">
        <v>183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</row>
    <row r="8" spans="1:51" s="8" customFormat="1">
      <c r="A8" s="8">
        <v>1</v>
      </c>
      <c r="B8" s="8" t="s">
        <v>197</v>
      </c>
      <c r="C8" s="8" t="s">
        <v>206</v>
      </c>
      <c r="D8" s="8" t="s">
        <v>30</v>
      </c>
      <c r="E8" s="8" t="s">
        <v>201</v>
      </c>
      <c r="F8" s="8">
        <v>1</v>
      </c>
      <c r="G8" s="8">
        <v>1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19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3</v>
      </c>
      <c r="P8" s="8">
        <v>100</v>
      </c>
      <c r="Q8" s="8" t="str">
        <f>B8</f>
        <v>NoPAMS</v>
      </c>
    </row>
    <row r="9" spans="1:51" s="8" customFormat="1">
      <c r="A9" s="8">
        <v>1</v>
      </c>
      <c r="B9" s="8" t="s">
        <v>221</v>
      </c>
      <c r="C9" s="8" t="s">
        <v>206</v>
      </c>
      <c r="D9" s="8" t="s">
        <v>30</v>
      </c>
      <c r="E9" s="8" t="s">
        <v>222</v>
      </c>
      <c r="F9" s="8">
        <v>1</v>
      </c>
      <c r="G9" s="8">
        <v>1</v>
      </c>
      <c r="H9" s="8" t="s">
        <v>191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3</v>
      </c>
      <c r="P9" s="8">
        <v>100</v>
      </c>
      <c r="Q9" s="8" t="str">
        <f>B9</f>
        <v>LoPAMS</v>
      </c>
    </row>
    <row r="10" spans="1:51" s="8" customFormat="1">
      <c r="A10" s="8">
        <v>1</v>
      </c>
      <c r="B10" s="8" t="s">
        <v>209</v>
      </c>
      <c r="C10" s="8" t="s">
        <v>206</v>
      </c>
      <c r="D10" s="8" t="s">
        <v>30</v>
      </c>
      <c r="E10" s="8" t="s">
        <v>210</v>
      </c>
      <c r="F10" s="8">
        <v>1</v>
      </c>
      <c r="G10" s="8">
        <v>1</v>
      </c>
      <c r="H10" s="8" t="s">
        <v>190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P10" s="8">
        <v>100</v>
      </c>
      <c r="Q10" s="8" t="str">
        <f t="shared" ref="Q10" si="4">B10</f>
        <v>CPAMS-NoIRP</v>
      </c>
    </row>
    <row r="11" spans="1:51" s="8" customFormat="1">
      <c r="A11" s="8">
        <v>1</v>
      </c>
      <c r="B11" s="8" t="s">
        <v>215</v>
      </c>
      <c r="C11" s="8" t="s">
        <v>206</v>
      </c>
      <c r="D11" s="8" t="s">
        <v>30</v>
      </c>
      <c r="E11" s="8" t="s">
        <v>216</v>
      </c>
      <c r="F11" s="8">
        <v>1</v>
      </c>
      <c r="G11" s="8">
        <v>1</v>
      </c>
      <c r="H11" s="8" t="s">
        <v>190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P11" s="8">
        <v>100</v>
      </c>
      <c r="Q11" s="8" t="str">
        <f t="shared" ref="Q11" si="5">B11</f>
        <v>CPAMS-MRE</v>
      </c>
    </row>
    <row r="12" spans="1:51" s="8" customFormat="1">
      <c r="A12" s="8">
        <v>1</v>
      </c>
      <c r="B12" s="8" t="s">
        <v>223</v>
      </c>
      <c r="C12" s="8" t="s">
        <v>206</v>
      </c>
      <c r="D12" s="8" t="s">
        <v>30</v>
      </c>
      <c r="E12" s="8" t="s">
        <v>219</v>
      </c>
      <c r="F12" s="8">
        <v>1</v>
      </c>
      <c r="G12" s="8">
        <v>1</v>
      </c>
      <c r="H12" s="8" t="str">
        <f>H15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P12" s="8">
        <v>100</v>
      </c>
      <c r="Q12" s="8" t="str">
        <f>B12</f>
        <v>CPAMS-RE</v>
      </c>
    </row>
    <row r="13" spans="1:51" s="8" customFormat="1">
      <c r="A13" s="8">
        <v>1</v>
      </c>
      <c r="B13" s="8" t="s">
        <v>195</v>
      </c>
      <c r="C13" s="8" t="s">
        <v>206</v>
      </c>
      <c r="D13" s="8" t="s">
        <v>30</v>
      </c>
      <c r="E13" s="8" t="s">
        <v>194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P13" s="8">
        <v>100</v>
      </c>
      <c r="Q13" s="8" t="str">
        <f>B13</f>
        <v>CPAMS</v>
      </c>
    </row>
    <row r="14" spans="1:51">
      <c r="A14" s="8">
        <v>1</v>
      </c>
      <c r="B14" t="s">
        <v>199</v>
      </c>
      <c r="C14" t="s">
        <v>206</v>
      </c>
      <c r="D14" s="8" t="s">
        <v>30</v>
      </c>
      <c r="E14" t="s">
        <v>200</v>
      </c>
      <c r="F14" s="8">
        <v>1</v>
      </c>
      <c r="G14" s="8">
        <v>1</v>
      </c>
      <c r="H14" s="8" t="s">
        <v>192</v>
      </c>
      <c r="I14" s="8">
        <v>1</v>
      </c>
      <c r="J14" s="8">
        <v>1</v>
      </c>
      <c r="K14" s="8">
        <f t="shared" si="1"/>
        <v>1</v>
      </c>
      <c r="L14" s="8">
        <f>INDEX(L$1:L$4,MATCH($H14,$J$1:$J$4,0))</f>
        <v>1</v>
      </c>
      <c r="M14" s="8">
        <f t="shared" ref="M14:O14" si="6">INDEX(M$1:M$4,MATCH($H14,$J$1:$J$4,0))</f>
        <v>3</v>
      </c>
      <c r="N14" s="8">
        <f t="shared" si="6"/>
        <v>3</v>
      </c>
      <c r="O14" s="8">
        <f t="shared" si="6"/>
        <v>2</v>
      </c>
      <c r="P14" s="8">
        <v>100</v>
      </c>
      <c r="Q14" s="8" t="str">
        <f>B14</f>
        <v>HiPam</v>
      </c>
    </row>
    <row r="15" spans="1:51" s="8" customFormat="1">
      <c r="A15" s="8">
        <v>1</v>
      </c>
      <c r="B15" s="8" t="s">
        <v>198</v>
      </c>
      <c r="C15" s="8" t="s">
        <v>206</v>
      </c>
      <c r="D15" s="8" t="s">
        <v>31</v>
      </c>
      <c r="E15" s="8" t="s">
        <v>203</v>
      </c>
      <c r="F15" s="8">
        <v>1</v>
      </c>
      <c r="G15" s="8">
        <v>1</v>
      </c>
      <c r="H15" s="8" t="str">
        <f>H13</f>
        <v>Base Pams</v>
      </c>
      <c r="I15" s="8">
        <v>1</v>
      </c>
      <c r="J15" s="8">
        <v>1</v>
      </c>
      <c r="K15" s="8">
        <f t="shared" ref="K15:K19" si="7">INDEX(K$1:K$4,MATCH($H15,$J$1:$J$4,0))</f>
        <v>2</v>
      </c>
      <c r="L15" s="8">
        <f t="shared" si="2"/>
        <v>2</v>
      </c>
      <c r="M15" s="8">
        <f t="shared" si="2"/>
        <v>1</v>
      </c>
      <c r="N15" s="8">
        <f t="shared" si="2"/>
        <v>2</v>
      </c>
      <c r="O15" s="8">
        <f t="shared" si="2"/>
        <v>1</v>
      </c>
      <c r="P15" s="8">
        <v>100</v>
      </c>
      <c r="Q15" s="8" t="str">
        <f t="shared" ref="Q15:Q19" si="8">B15</f>
        <v>CPAMS-TrGr</v>
      </c>
      <c r="AY15" s="8" t="s">
        <v>179</v>
      </c>
    </row>
    <row r="16" spans="1:51">
      <c r="A16" s="8">
        <v>1</v>
      </c>
      <c r="B16" s="8" t="s">
        <v>224</v>
      </c>
      <c r="C16" t="s">
        <v>206</v>
      </c>
      <c r="D16" s="8" t="s">
        <v>31</v>
      </c>
      <c r="E16" t="s">
        <v>220</v>
      </c>
      <c r="F16" s="8">
        <v>1</v>
      </c>
      <c r="G16" s="8">
        <v>1</v>
      </c>
      <c r="H16" s="8" t="s">
        <v>190</v>
      </c>
      <c r="I16" s="8">
        <v>1</v>
      </c>
      <c r="J16" s="8">
        <v>1</v>
      </c>
      <c r="K16" s="8">
        <f t="shared" si="7"/>
        <v>2</v>
      </c>
      <c r="L16" s="8">
        <f t="shared" si="2"/>
        <v>2</v>
      </c>
      <c r="M16" s="8">
        <f t="shared" si="2"/>
        <v>1</v>
      </c>
      <c r="N16" s="8">
        <f t="shared" si="2"/>
        <v>2</v>
      </c>
      <c r="O16" s="8">
        <f t="shared" si="2"/>
        <v>1</v>
      </c>
      <c r="P16" s="8">
        <v>100</v>
      </c>
      <c r="Q16" s="8" t="str">
        <f t="shared" si="8"/>
        <v>CPAMS-TrGr-RE</v>
      </c>
    </row>
    <row r="17" spans="1:17" s="8" customFormat="1">
      <c r="A17" s="8">
        <v>1</v>
      </c>
      <c r="B17" s="8" t="s">
        <v>227</v>
      </c>
      <c r="C17" s="8" t="s">
        <v>206</v>
      </c>
      <c r="D17" s="8" t="s">
        <v>31</v>
      </c>
      <c r="E17" s="8" t="s">
        <v>228</v>
      </c>
      <c r="F17" s="8">
        <v>1</v>
      </c>
      <c r="G17" s="8">
        <v>1</v>
      </c>
      <c r="H17" s="8" t="s">
        <v>190</v>
      </c>
      <c r="I17" s="8">
        <v>1</v>
      </c>
      <c r="J17" s="8">
        <v>1</v>
      </c>
      <c r="K17" s="8">
        <f t="shared" si="7"/>
        <v>2</v>
      </c>
      <c r="L17" s="8">
        <f t="shared" si="2"/>
        <v>2</v>
      </c>
      <c r="M17" s="8">
        <f t="shared" si="2"/>
        <v>1</v>
      </c>
      <c r="N17" s="8">
        <f t="shared" si="2"/>
        <v>2</v>
      </c>
      <c r="O17" s="8">
        <f t="shared" si="2"/>
        <v>1</v>
      </c>
      <c r="P17" s="8">
        <v>100</v>
      </c>
      <c r="Q17" s="8" t="str">
        <f t="shared" ref="Q17" si="9">B17</f>
        <v>CPAMS-TrGr-MRE</v>
      </c>
    </row>
    <row r="18" spans="1:17" s="8" customFormat="1">
      <c r="A18" s="8">
        <v>1</v>
      </c>
      <c r="B18" s="8" t="s">
        <v>225</v>
      </c>
      <c r="C18" s="8" t="s">
        <v>206</v>
      </c>
      <c r="D18" s="8" t="s">
        <v>31</v>
      </c>
      <c r="E18" s="8" t="s">
        <v>226</v>
      </c>
      <c r="F18" s="8">
        <v>1</v>
      </c>
      <c r="G18" s="8">
        <v>1</v>
      </c>
      <c r="H18" s="8" t="s">
        <v>191</v>
      </c>
      <c r="I18" s="8">
        <v>1</v>
      </c>
      <c r="J18" s="8">
        <v>1</v>
      </c>
      <c r="K18" s="8">
        <f>INDEX(K$1:K$4,MATCH($H18,$J$1:$J$4,0))</f>
        <v>2</v>
      </c>
      <c r="L18" s="8">
        <f>INDEX(L$1:L$4,MATCH($H18,$J$1:$J$4,0))</f>
        <v>2</v>
      </c>
      <c r="M18" s="8">
        <f>INDEX(M$1:M$4,MATCH($H18,$J$1:$J$4,0))</f>
        <v>2</v>
      </c>
      <c r="N18" s="8">
        <f>INDEX(N$1:N$4,MATCH($H18,$J$1:$J$4,0))</f>
        <v>1</v>
      </c>
      <c r="O18" s="8">
        <f>INDEX(O$1:O$4,MATCH($H18,$J$1:$J$4,0))</f>
        <v>3</v>
      </c>
      <c r="P18" s="8">
        <v>100</v>
      </c>
      <c r="Q18" s="8" t="str">
        <f>B18</f>
        <v>LoPAMS-MRE-TrGr</v>
      </c>
    </row>
    <row r="19" spans="1:17">
      <c r="A19" s="8">
        <v>1</v>
      </c>
      <c r="B19" t="s">
        <v>202</v>
      </c>
      <c r="C19" t="s">
        <v>206</v>
      </c>
      <c r="D19" s="8" t="s">
        <v>31</v>
      </c>
      <c r="E19" s="8" t="s">
        <v>204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 t="shared" si="7"/>
        <v>-1</v>
      </c>
      <c r="L19" s="8">
        <f t="shared" si="2"/>
        <v>-1</v>
      </c>
      <c r="M19" s="8">
        <f t="shared" si="2"/>
        <v>-1</v>
      </c>
      <c r="N19" s="8">
        <f t="shared" si="2"/>
        <v>1</v>
      </c>
      <c r="O19" s="8">
        <f t="shared" si="2"/>
        <v>3</v>
      </c>
      <c r="P19" s="8">
        <v>100</v>
      </c>
      <c r="Q19" s="8" t="str">
        <f t="shared" si="8"/>
        <v>NoPAMS-TrGr-FrcdCoal</v>
      </c>
    </row>
    <row r="20" spans="1:17">
      <c r="A20" s="8"/>
      <c r="B20" s="8"/>
      <c r="C20" s="8"/>
      <c r="E20" s="8"/>
      <c r="P20" s="8"/>
      <c r="Q20" s="8"/>
    </row>
  </sheetData>
  <mergeCells count="1">
    <mergeCell ref="R6:AE6"/>
  </mergeCells>
  <phoneticPr fontId="34" type="noConversion"/>
  <dataValidations count="1">
    <dataValidation type="list" allowBlank="1" showInputMessage="1" showErrorMessage="1" sqref="H8:H20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2020-09-02T19:59:55Z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