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F3F27A2-E3E5-41AA-B74B-1EBBDF993F45}" xr6:coauthVersionLast="45" xr6:coauthVersionMax="45" xr10:uidLastSave="{00000000-0000-0000-0000-000000000000}"/>
  <bookViews>
    <workbookView xWindow="105" yWindow="-16155" windowWidth="21600" windowHeight="13695" xr2:uid="{4B221D65-8B6E-432B-B32D-B10605CA311E}"/>
    <workbookView xWindow="4035" yWindow="570" windowWidth="21600" windowHeight="13695" activeTab="2" xr2:uid="{CF1C0B77-04E2-4183-8F81-30F56C18938C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53" r:id="rId9"/>
    <pivotCache cacheId="35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4" l="1"/>
  <c r="P10" i="33" l="1"/>
  <c r="C10" i="4" l="1"/>
  <c r="W7" i="5" l="1"/>
  <c r="W8" i="5" s="1"/>
  <c r="W9" i="5" s="1"/>
  <c r="W10" i="5" s="1"/>
  <c r="W11" i="5" s="1"/>
  <c r="W12" i="5" s="1"/>
  <c r="W13" i="5" s="1"/>
  <c r="C9" i="4"/>
  <c r="C13" i="4" l="1"/>
  <c r="C17" i="4" l="1"/>
  <c r="C16" i="4"/>
  <c r="C15" i="4" l="1"/>
  <c r="C14" i="4"/>
  <c r="C12" i="4"/>
  <c r="C8" i="4"/>
  <c r="C11" i="4"/>
  <c r="C7" i="4"/>
  <c r="P9" i="33" l="1"/>
  <c r="P11" i="33"/>
  <c r="P8" i="33"/>
  <c r="R7" i="33" l="1"/>
  <c r="S7" i="33" s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</calcChain>
</file>

<file path=xl/sharedStrings.xml><?xml version="1.0" encoding="utf-8"?>
<sst xmlns="http://schemas.openxmlformats.org/spreadsheetml/2006/main" count="305" uniqueCount="199">
  <si>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</si>
  <si>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</si>
  <si>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</si>
  <si>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</si>
  <si>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</si>
  <si>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</si>
  <si>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</si>
  <si>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</si>
  <si>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</si>
  <si>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</si>
  <si>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</si>
  <si>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</si>
  <si>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</si>
  <si>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</si>
  <si>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</si>
  <si>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</si>
  <si>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</si>
  <si>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</si>
  <si>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</si>
  <si>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</si>
  <si>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</si>
  <si>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</si>
  <si>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</si>
  <si>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</si>
  <si>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</si>
  <si>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</si>
  <si>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</si>
  <si>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</si>
  <si>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</si>
  <si>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</si>
  <si>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</si>
  <si>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</si>
  <si>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RUNZERO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</si>
  <si>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</si>
  <si>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</si>
  <si>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</si>
  <si>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</si>
  <si>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</si>
  <si>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</si>
  <si>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</si>
  <si>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</si>
  <si>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</si>
  <si>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</si>
  <si>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</si>
  <si>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</si>
  <si>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</si>
  <si>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</si>
  <si>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Run0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</si>
  <si>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</si>
  <si>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</si>
  <si>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</si>
  <si>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</si>
  <si>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</si>
  <si>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</si>
  <si>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</si>
  <si>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</si>
  <si>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</si>
  <si>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</si>
  <si>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</si>
  <si>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</si>
  <si>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</si>
  <si>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</si>
  <si>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</si>
  <si>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</si>
  <si>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</si>
  <si>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</si>
  <si>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</si>
  <si>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</si>
  <si>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</si>
  <si>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</si>
  <si>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</si>
  <si>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</si>
  <si>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</si>
  <si>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</si>
  <si>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</si>
  <si>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</si>
  <si>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</si>
  <si>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</si>
  <si>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</si>
  <si>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</si>
  <si>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</si>
  <si>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</si>
  <si>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</si>
  <si>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</si>
  <si>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</si>
  <si>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</si>
  <si>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</si>
  <si>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</si>
  <si>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</si>
  <si>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</si>
  <si>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</si>
  <si>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</si>
  <si>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</si>
  <si>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</si>
  <si>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</si>
  <si>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</si>
  <si>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</si>
  <si>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</si>
  <si>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</si>
  <si>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</si>
  <si>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</si>
  <si>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</si>
  <si>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</si>
  <si>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</si>
  <si>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</si>
  <si>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</si>
  <si>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</si>
  <si>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</si>
  <si>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</si>
  <si>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</si>
  <si>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</si>
  <si>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</si>
  <si>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</si>
  <si>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</si>
  <si>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</si>
  <si>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</si>
  <si>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</si>
  <si>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</si>
  <si>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</si>
  <si>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</si>
  <si>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</si>
  <si>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</si>
  <si>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</si>
  <si>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</si>
  <si>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</si>
  <si>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</si>
  <si>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</si>
  <si>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</si>
  <si>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</si>
  <si>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</si>
  <si>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</si>
  <si>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</si>
  <si>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</si>
  <si>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</si>
  <si>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</si>
  <si>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</si>
  <si>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</si>
  <si>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</si>
  <si>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</si>
  <si>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</si>
  <si>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</si>
  <si>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</si>
  <si>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</si>
  <si>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</si>
  <si>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</si>
  <si>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</si>
  <si>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</si>
  <si>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</si>
  <si>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</si>
  <si>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</si>
  <si>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</si>
  <si>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</si>
  <si>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</si>
  <si>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</si>
  <si>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</si>
  <si>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</si>
  <si>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</si>
  <si>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</si>
  <si>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</si>
  <si>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</si>
  <si>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</si>
  <si>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</si>
  <si>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</si>
  <si>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</si>
  <si>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</si>
  <si>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</si>
  <si>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</si>
  <si>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</si>
  <si>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</si>
  <si>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</si>
  <si>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</si>
  <si>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</si>
  <si>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</si>
  <si>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</si>
  <si>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</si>
  <si>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</si>
  <si>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</si>
  <si>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</si>
  <si>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</si>
  <si>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</si>
  <si>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</si>
  <si>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</si>
  <si>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</si>
  <si>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CentralPAMS</t>
  </si>
  <si>
    <t>RUNCENTRAL1</t>
  </si>
  <si>
    <t>NoPAMSForcedCoal</t>
  </si>
  <si>
    <t>RUNCOAL</t>
  </si>
  <si>
    <t>CentralPAMSnoCoal</t>
  </si>
  <si>
    <t>RUNCENTRAL2</t>
  </si>
  <si>
    <t>RUNZEROB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</si>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</sst>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48.700928935184" missingItemsLimit="0" createdVersion="6" refreshedVersion="6" minRefreshableVersion="3" recordCount="4" xr:uid="{AB6D67C0-07F7-4A89-9D35-79349ED91DA1}">
  <cacheSource type="worksheet">
    <worksheetSource ref="A7:O11" sheet="Scenarios"/>
  </cacheSource>
  <cacheFields count="15">
    <cacheField name="Include in Batch?" numFmtId="0">
      <sharedItems containsSemiMixedTypes="0" containsString="0" containsNumber="1" containsInteger="1" minValue="0" maxValue="1"/>
    </cacheField>
    <cacheField name="Scenario (RUN)" numFmtId="0">
      <sharedItems count="4">
        <s v="Run0"/>
        <s v="CentralPAMS"/>
        <s v="CentralPAMSnoCoal"/>
        <s v="NoPAMSForcedCoal"/>
      </sharedItems>
    </cacheField>
    <cacheField name="Scenario Description" numFmtId="0">
      <sharedItems containsNonDate="0" containsString="0" containsBlank="1"/>
    </cacheField>
    <cacheField name="eSAGE (CGE) sim" numFmtId="0">
      <sharedItems count="1">
        <s v="base"/>
      </sharedItems>
    </cacheField>
    <cacheField name="SATIM (TIMES) Case" numFmtId="0">
      <sharedItems count="4">
        <s v="RUNZERO"/>
        <s v="RUNCENTRAL1"/>
        <s v="RUNZEROB"/>
        <s v="RUNCOAL"/>
      </sharedItems>
    </cacheField>
    <cacheField name="Rerun TIMES?" numFmtId="0">
      <sharedItems containsSemiMixedTypes="0" containsString="0" containsNumber="1" containsInteger="1" minValue="0" maxValue="1"/>
    </cacheField>
    <cacheField name="Link to CGE?" numFmtId="0">
      <sharedItems containsSemiMixedTypes="0" containsString="0" containsNumber="1" containsInteger="1" minValue="0" maxValue="1"/>
    </cacheField>
    <cacheField name="Link to Waste?" numFmtId="0">
      <sharedItems containsSemiMixedTypes="0" containsString="0" containsNumber="1" containsInteger="1" minValue="0" maxValue="0"/>
    </cacheField>
    <cacheField name="Link to AFOLU?" numFmtId="0">
      <sharedItems containsSemiMixedTypes="0" containsString="0" containsNumber="1" containsInteger="1" minValue="0" maxValue="0"/>
    </cacheField>
    <cacheField name="PAMS_RES" numFmtId="0">
      <sharedItems containsSemiMixedTypes="0" containsString="0" containsNumber="1" containsInteger="1" minValue="-1" maxValue="1"/>
    </cacheField>
    <cacheField name="PAMS_COM" numFmtId="0">
      <sharedItems containsSemiMixedTypes="0" containsString="0" containsNumber="1" containsInteger="1" minValue="-1" maxValue="1"/>
    </cacheField>
    <cacheField name="PAMS_TRA" numFmtId="0">
      <sharedItems containsSemiMixedTypes="0" containsString="0" containsNumber="1" containsInteger="1" minValue="-1" maxValue="1"/>
    </cacheField>
    <cacheField name="PAMS_WASTE" numFmtId="0">
      <sharedItems containsSemiMixedTypes="0" containsString="0" containsNumber="1" containsInteger="1" minValue="-1" maxValue="1"/>
    </cacheField>
    <cacheField name="PAMS_AFOLU" numFmtId="0">
      <sharedItems containsSemiMixedTypes="0" containsString="0" containsNumber="1" containsInteger="1" minValue="-1" maxValue="1"/>
    </cacheField>
    <cacheField name="CO2 CumCap" numFmtId="0">
      <sharedItems containsSemiMixedTypes="0" containsString="0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48.700929050923" createdVersion="6" refreshedVersion="6" minRefreshableVersion="3" recordCount="6" xr:uid="{D229C3DF-142A-4D15-BB2C-2EA205AB0203}">
  <cacheSource type="worksheet">
    <worksheetSource ref="A7:O101" sheet="Scenarios"/>
  </cacheSource>
  <cacheFields count="15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5">
        <s v="Run0"/>
        <s v="CentralPAMS"/>
        <s v="CentralPAMSnoCoal"/>
        <s v="NoPAMSForcedCoal"/>
        <m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-1" maxValue="1"/>
    </cacheField>
    <cacheField name="PAMS_AFOLU" numFmtId="0">
      <sharedItems containsString="0" containsBlank="1" containsNumber="1" containsInteger="1" minValue="-1" maxValue="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x v="0"/>
    <m/>
    <x v="0"/>
    <x v="0"/>
    <n v="1"/>
    <n v="1"/>
    <n v="0"/>
    <n v="0"/>
    <n v="-1"/>
    <n v="-1"/>
    <n v="-1"/>
    <n v="-1"/>
    <n v="-1"/>
    <n v="100"/>
  </r>
  <r>
    <n v="0"/>
    <x v="1"/>
    <m/>
    <x v="0"/>
    <x v="1"/>
    <n v="0"/>
    <n v="1"/>
    <n v="0"/>
    <n v="0"/>
    <n v="1"/>
    <n v="1"/>
    <n v="1"/>
    <n v="1"/>
    <n v="1"/>
    <n v="100"/>
  </r>
  <r>
    <n v="0"/>
    <x v="2"/>
    <m/>
    <x v="0"/>
    <x v="2"/>
    <n v="0"/>
    <n v="1"/>
    <n v="0"/>
    <n v="0"/>
    <n v="-1"/>
    <n v="-1"/>
    <n v="-1"/>
    <n v="-1"/>
    <n v="-1"/>
    <n v="100"/>
  </r>
  <r>
    <n v="0"/>
    <x v="3"/>
    <m/>
    <x v="0"/>
    <x v="3"/>
    <n v="0"/>
    <n v="0"/>
    <n v="0"/>
    <n v="0"/>
    <n v="1"/>
    <n v="1"/>
    <n v="1"/>
    <n v="1"/>
    <n v="1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"/>
    <x v="0"/>
    <m/>
    <s v="base"/>
    <s v="RUNZERO"/>
    <n v="1"/>
    <n v="1"/>
    <n v="0"/>
    <n v="0"/>
    <n v="-1"/>
    <n v="-1"/>
    <n v="-1"/>
    <n v="-1"/>
    <n v="-1"/>
    <n v="100"/>
  </r>
  <r>
    <n v="0"/>
    <x v="1"/>
    <m/>
    <s v="base"/>
    <s v="RUNCENTRAL1"/>
    <n v="0"/>
    <n v="1"/>
    <n v="0"/>
    <n v="0"/>
    <n v="1"/>
    <n v="1"/>
    <n v="1"/>
    <n v="1"/>
    <n v="1"/>
    <n v="100"/>
  </r>
  <r>
    <n v="0"/>
    <x v="2"/>
    <m/>
    <s v="base"/>
    <s v="RUNZEROB"/>
    <n v="0"/>
    <n v="1"/>
    <n v="0"/>
    <n v="0"/>
    <n v="-1"/>
    <n v="-1"/>
    <n v="-1"/>
    <n v="-1"/>
    <n v="-1"/>
    <n v="100"/>
  </r>
  <r>
    <n v="0"/>
    <x v="3"/>
    <m/>
    <s v="base"/>
    <s v="RUNCOAL"/>
    <n v="0"/>
    <n v="0"/>
    <n v="0"/>
    <n v="0"/>
    <n v="1"/>
    <n v="1"/>
    <n v="1"/>
    <n v="1"/>
    <n v="1"/>
    <n v="100"/>
  </r>
  <r>
    <m/>
    <x v="4"/>
    <m/>
    <m/>
    <m/>
    <m/>
    <m/>
    <m/>
    <m/>
    <m/>
    <m/>
    <m/>
    <m/>
    <m/>
    <m/>
  </r>
  <r>
    <m/>
    <x v="4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EACD46-B1A6-41D8-BD56-DF91D9A96016}" name="PivotTable9" cacheId="3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O6:T10" firstHeaderRow="0" firstDataRow="1" firstDataCol="1"/>
  <pivotFields count="15"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9" baseField="0" baseItem="0"/>
    <dataField name="COM" fld="10" baseField="0" baseItem="0"/>
    <dataField name="TRA" fld="11" baseField="0" baseItem="0"/>
    <dataField name="WASTE" fld="12" baseField="0" baseItem="0"/>
    <dataField name="AFOLU" fld="13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30652-DD13-4DBD-BC98-1ACE952C4745}" name="PivotTable3" cacheId="3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5">
    <pivotField showAll="0"/>
    <pivotField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36498-8D1D-41A4-B6E0-57783A33115B}" name="PivotTable5" cacheId="3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10" firstHeaderRow="1" firstDataRow="1" firstDataCol="2"/>
  <pivotFields count="1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/>
    </i>
    <i>
      <x v="1"/>
      <x v="1"/>
    </i>
    <i>
      <x v="2"/>
      <x v="2"/>
    </i>
    <i>
      <x v="3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4593C-297B-4A7B-AFED-F06BF31B3384}" name="PivotTable2" cacheId="3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5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BDB39-930B-4323-9268-00DD1D364EAD}" name="PivotTable6" cacheId="3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10" firstHeaderRow="1" firstDataRow="1" firstDataCol="2"/>
  <pivotFields count="1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/>
    </i>
    <i>
      <x v="1"/>
      <x/>
    </i>
    <i>
      <x v="2"/>
      <x/>
    </i>
    <i>
      <x v="3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41161-D298-46C6-B5FF-8F3510A03B8F}" name="PivotTable4" cacheId="353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5">
    <pivotField dataField="1" showAll="0"/>
    <pivotField axis="axisRow" showAll="0" sortType="ascending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5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5">
    <pivotField showAll="0"/>
    <pivotField axis="axisRow" showAll="0" sortType="ascending">
      <items count="6">
        <item x="1"/>
        <item x="2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2FA57-9FD3-47F8-B27E-091D1A0975F2}" name="PivotTable8" cacheId="3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5"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8558C-1754-41B5-AA6A-528AC82AB896}" name="PivotTable7" cacheId="3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5"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8"/>
  <sheetViews>
    <sheetView tabSelected="1" workbookViewId="0">
      <selection activeCell="D18" sqref="D18"/>
    </sheetView>
    <sheetView workbookViewId="1"/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63</v>
      </c>
      <c r="C8" t="str">
        <f>"Sets!"&amp;ADDRESS(ROW(Sets!B7),COLUMN(Sets!B7),4)</f>
        <v>Sets!B7</v>
      </c>
      <c r="D8">
        <v>1</v>
      </c>
    </row>
    <row r="9" spans="1:11">
      <c r="A9" s="9" t="s">
        <v>3</v>
      </c>
      <c r="B9" s="9" t="s">
        <v>60</v>
      </c>
      <c r="C9" s="9" t="str">
        <f>"Sets!"&amp;ADDRESS(ROW(Sets!C7),COLUMN(Sets!C7),4)</f>
        <v>Sets!C7</v>
      </c>
      <c r="D9" s="9">
        <v>1</v>
      </c>
      <c r="E9" s="9"/>
    </row>
    <row r="10" spans="1:11" s="9" customFormat="1">
      <c r="A10" s="9" t="s">
        <v>4</v>
      </c>
      <c r="B10" s="9" t="s">
        <v>67</v>
      </c>
      <c r="C10" s="9" t="str">
        <f>"Sets!"&amp;ADDRESS(ROW(Sets!D7),COLUMN(Sets!D7),4)</f>
        <v>Sets!D7</v>
      </c>
      <c r="D10" s="9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9" customFormat="1">
      <c r="A12" s="9" t="s">
        <v>2</v>
      </c>
      <c r="B12" s="9" t="s">
        <v>62</v>
      </c>
      <c r="C12" s="9" t="str">
        <f>"Sets!"&amp;ADDRESS(ROW(Sets!G7),COLUMN(Sets!G7),4)</f>
        <v>Sets!G7</v>
      </c>
      <c r="D12" s="9">
        <v>1</v>
      </c>
    </row>
    <row r="13" spans="1:11" s="9" customFormat="1">
      <c r="A13" s="9" t="s">
        <v>2</v>
      </c>
      <c r="B13" s="9" t="s">
        <v>64</v>
      </c>
      <c r="C13" s="9" t="str">
        <f>"Sets!"&amp;ADDRESS(ROW(Sets!I7),COLUMN(Sets!I7),4)</f>
        <v>Sets!I7</v>
      </c>
      <c r="D13" s="9">
        <v>1</v>
      </c>
    </row>
    <row r="14" spans="1:11" s="9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9" t="s">
        <v>4</v>
      </c>
      <c r="B15" s="9" t="s">
        <v>61</v>
      </c>
      <c r="C15" s="9" t="str">
        <f>"Sets!"&amp;ADDRESS(ROW(Sets!M7),COLUMN(Sets!M7),4)</f>
        <v>Sets!M7</v>
      </c>
      <c r="D15" s="9">
        <v>2</v>
      </c>
      <c r="E15" s="9"/>
      <c r="F15" s="9"/>
    </row>
    <row r="16" spans="1:11">
      <c r="A16" s="9" t="s">
        <v>3</v>
      </c>
      <c r="B16" s="9" t="s">
        <v>57</v>
      </c>
      <c r="C16" s="9" t="str">
        <f>"Sets!"&amp;ADDRESS(ROW(Sets!V7),COLUMN(Sets!V7),4)</f>
        <v>Sets!V7</v>
      </c>
      <c r="D16" s="9">
        <v>1</v>
      </c>
    </row>
    <row r="17" spans="1:5">
      <c r="A17" s="9" t="s">
        <v>3</v>
      </c>
      <c r="B17" s="9" t="s">
        <v>58</v>
      </c>
      <c r="C17" s="9" t="str">
        <f>"Sets!"&amp;ADDRESS(ROW(Sets!W7),COLUMN(Sets!W7),4)</f>
        <v>Sets!W7</v>
      </c>
      <c r="D17" s="9">
        <v>1</v>
      </c>
      <c r="E17" s="9"/>
    </row>
    <row r="18" spans="1:5">
      <c r="A18" t="s">
        <v>2</v>
      </c>
      <c r="B18" t="s">
        <v>167</v>
      </c>
      <c r="C18" t="str">
        <f>"Sets!"&amp;ADDRESS(ROW(Sets!O6),COLUMN(Sets!O6),4)</f>
        <v>Sets!O6</v>
      </c>
      <c r="D18">
        <v>1</v>
      </c>
      <c r="E1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E51"/>
  <sheetViews>
    <sheetView topLeftCell="L1" workbookViewId="0">
      <selection activeCell="O7" sqref="O7:T10"/>
    </sheetView>
    <sheetView topLeftCell="L1" workbookViewId="1">
      <selection activeCell="L7" sqref="L7"/>
    </sheetView>
  </sheetViews>
  <sheetFormatPr defaultRowHeight="15"/>
  <cols>
    <col min="1" max="1" width="19" bestFit="1" customWidth="1"/>
    <col min="2" max="2" width="13.85546875" style="9" bestFit="1" customWidth="1"/>
    <col min="3" max="4" width="13.140625" style="9" customWidth="1"/>
    <col min="5" max="5" width="19" style="9" bestFit="1" customWidth="1"/>
    <col min="6" max="6" width="23" style="9" bestFit="1" customWidth="1"/>
    <col min="7" max="7" width="19" style="9" bestFit="1" customWidth="1"/>
    <col min="8" max="8" width="19.85546875" style="9" bestFit="1" customWidth="1"/>
    <col min="9" max="9" width="19" style="9" bestFit="1" customWidth="1"/>
    <col min="10" max="10" width="18.5703125" style="9" bestFit="1" customWidth="1"/>
    <col min="11" max="11" width="23.140625" style="9" customWidth="1"/>
    <col min="12" max="12" width="20.85546875" style="9" bestFit="1" customWidth="1"/>
    <col min="13" max="13" width="16.7109375" style="9" bestFit="1" customWidth="1"/>
    <col min="14" max="14" width="18" style="9" bestFit="1" customWidth="1"/>
    <col min="15" max="15" width="19" style="9" bestFit="1" customWidth="1"/>
    <col min="16" max="16" width="4.140625" style="9" bestFit="1" customWidth="1"/>
    <col min="17" max="17" width="5.28515625" style="9" bestFit="1" customWidth="1"/>
    <col min="18" max="18" width="4.42578125" style="9" bestFit="1" customWidth="1"/>
    <col min="19" max="19" width="7.140625" style="9" bestFit="1" customWidth="1"/>
    <col min="20" max="20" width="6.85546875" style="9" bestFit="1" customWidth="1"/>
    <col min="21" max="21" width="20.140625" style="9" customWidth="1"/>
    <col min="22" max="22" width="10" style="16" bestFit="1" customWidth="1"/>
    <col min="23" max="23" width="11.5703125" style="16" bestFit="1" customWidth="1"/>
    <col min="24" max="25" width="23.140625" style="9" customWidth="1"/>
    <col min="26" max="26" width="16.7109375" customWidth="1"/>
    <col min="27" max="27" width="19" customWidth="1"/>
    <col min="29" max="30" width="9.140625" style="9"/>
  </cols>
  <sheetData>
    <row r="5" spans="1:31" s="1" customFormat="1">
      <c r="A5" s="1" t="s">
        <v>8</v>
      </c>
      <c r="B5" s="1" t="s">
        <v>42</v>
      </c>
      <c r="C5" s="1" t="s">
        <v>48</v>
      </c>
      <c r="D5" s="1" t="s">
        <v>66</v>
      </c>
      <c r="E5" s="1" t="s">
        <v>44</v>
      </c>
      <c r="G5" s="1" t="s">
        <v>68</v>
      </c>
      <c r="I5" s="1" t="s">
        <v>69</v>
      </c>
      <c r="K5" s="1" t="s">
        <v>70</v>
      </c>
      <c r="M5" s="1" t="s">
        <v>71</v>
      </c>
      <c r="O5" s="1" t="s">
        <v>167</v>
      </c>
      <c r="V5" s="1" t="s">
        <v>56</v>
      </c>
      <c r="W5" s="1" t="s">
        <v>59</v>
      </c>
      <c r="AE5" s="1" t="s">
        <v>28</v>
      </c>
    </row>
    <row r="6" spans="1:31">
      <c r="A6" s="14" t="s">
        <v>35</v>
      </c>
      <c r="B6" s="14" t="s">
        <v>35</v>
      </c>
      <c r="D6" s="14" t="s">
        <v>35</v>
      </c>
      <c r="E6" s="14" t="s">
        <v>35</v>
      </c>
      <c r="F6" t="s">
        <v>43</v>
      </c>
      <c r="G6" s="14" t="s">
        <v>35</v>
      </c>
      <c r="H6" t="s">
        <v>46</v>
      </c>
      <c r="I6" s="14" t="s">
        <v>35</v>
      </c>
      <c r="J6" t="s">
        <v>45</v>
      </c>
      <c r="K6" s="14" t="s">
        <v>37</v>
      </c>
      <c r="L6" s="14" t="s">
        <v>29</v>
      </c>
      <c r="M6" s="14" t="s">
        <v>37</v>
      </c>
      <c r="N6" s="14" t="s">
        <v>30</v>
      </c>
      <c r="O6" s="14" t="s">
        <v>35</v>
      </c>
      <c r="P6" s="9" t="s">
        <v>195</v>
      </c>
      <c r="Q6" s="9" t="s">
        <v>196</v>
      </c>
      <c r="R6" s="9" t="s">
        <v>197</v>
      </c>
      <c r="S6" s="9" t="s">
        <v>198</v>
      </c>
      <c r="T6" s="9" t="s">
        <v>41</v>
      </c>
      <c r="V6" s="16" t="s">
        <v>57</v>
      </c>
      <c r="W6" s="16" t="s">
        <v>58</v>
      </c>
      <c r="Z6" s="9"/>
    </row>
    <row r="7" spans="1:31">
      <c r="A7" s="15" t="s">
        <v>183</v>
      </c>
      <c r="B7" s="15" t="s">
        <v>32</v>
      </c>
      <c r="C7" s="14" t="s">
        <v>31</v>
      </c>
      <c r="D7" s="15" t="s">
        <v>31</v>
      </c>
      <c r="E7" s="15" t="s">
        <v>183</v>
      </c>
      <c r="F7" s="3">
        <v>0</v>
      </c>
      <c r="G7" s="15" t="s">
        <v>47</v>
      </c>
      <c r="H7" s="3">
        <v>1</v>
      </c>
      <c r="I7" s="15" t="s">
        <v>47</v>
      </c>
      <c r="J7" s="3">
        <v>1</v>
      </c>
      <c r="K7" s="9" t="s">
        <v>47</v>
      </c>
      <c r="L7" s="9" t="s">
        <v>32</v>
      </c>
      <c r="M7" s="9" t="s">
        <v>47</v>
      </c>
      <c r="N7" s="9" t="s">
        <v>31</v>
      </c>
      <c r="O7" s="15" t="s">
        <v>47</v>
      </c>
      <c r="P7" s="3">
        <v>-1</v>
      </c>
      <c r="Q7" s="3">
        <v>-1</v>
      </c>
      <c r="R7" s="3">
        <v>-1</v>
      </c>
      <c r="S7" s="3">
        <v>-1</v>
      </c>
      <c r="T7" s="3">
        <v>-1</v>
      </c>
      <c r="U7" s="3"/>
      <c r="V7" s="16">
        <v>2012</v>
      </c>
      <c r="W7" s="16">
        <f>2051-Scenarios!G6</f>
        <v>2048</v>
      </c>
      <c r="Z7" s="9"/>
      <c r="AA7" s="9"/>
      <c r="AB7" s="9"/>
      <c r="AE7" t="s">
        <v>15</v>
      </c>
    </row>
    <row r="8" spans="1:31">
      <c r="A8" s="15" t="s">
        <v>187</v>
      </c>
      <c r="B8" s="15" t="s">
        <v>184</v>
      </c>
      <c r="C8" s="15" t="s">
        <v>33</v>
      </c>
      <c r="D8"/>
      <c r="E8" s="15" t="s">
        <v>187</v>
      </c>
      <c r="F8" s="3">
        <v>0</v>
      </c>
      <c r="G8" s="15" t="s">
        <v>183</v>
      </c>
      <c r="H8" s="3">
        <v>0</v>
      </c>
      <c r="I8" s="15" t="s">
        <v>183</v>
      </c>
      <c r="J8" s="3">
        <v>1</v>
      </c>
      <c r="K8" s="9" t="s">
        <v>183</v>
      </c>
      <c r="L8" s="9" t="s">
        <v>184</v>
      </c>
      <c r="M8" s="9" t="s">
        <v>183</v>
      </c>
      <c r="N8" s="9" t="s">
        <v>31</v>
      </c>
      <c r="O8" s="15" t="s">
        <v>183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/>
      <c r="V8" s="16">
        <v>2013</v>
      </c>
      <c r="W8" s="16">
        <f>IF(OR(W7=2050,W7=""),"",W7+1)</f>
        <v>2049</v>
      </c>
      <c r="Z8" s="9"/>
      <c r="AA8" s="9"/>
      <c r="AB8" s="9"/>
      <c r="AE8" s="9" t="s">
        <v>16</v>
      </c>
    </row>
    <row r="9" spans="1:31">
      <c r="A9" s="15" t="s">
        <v>185</v>
      </c>
      <c r="B9" s="15" t="s">
        <v>186</v>
      </c>
      <c r="C9" s="15" t="s">
        <v>34</v>
      </c>
      <c r="D9"/>
      <c r="E9" s="15" t="s">
        <v>185</v>
      </c>
      <c r="F9" s="3">
        <v>0</v>
      </c>
      <c r="G9" s="15" t="s">
        <v>185</v>
      </c>
      <c r="H9" s="3">
        <v>0</v>
      </c>
      <c r="I9" s="15" t="s">
        <v>185</v>
      </c>
      <c r="J9" s="3">
        <v>0</v>
      </c>
      <c r="K9" s="9" t="s">
        <v>185</v>
      </c>
      <c r="L9" s="9" t="s">
        <v>186</v>
      </c>
      <c r="M9" s="9" t="s">
        <v>185</v>
      </c>
      <c r="N9" s="9" t="s">
        <v>31</v>
      </c>
      <c r="O9" s="15" t="s">
        <v>185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/>
      <c r="V9" s="16">
        <v>2014</v>
      </c>
      <c r="W9" s="16">
        <f t="shared" ref="W9:W13" si="0">IF(OR(W8=2050,W8=""),"",W8+1)</f>
        <v>2050</v>
      </c>
      <c r="Z9" s="9"/>
      <c r="AA9" s="9"/>
      <c r="AB9" s="9"/>
      <c r="AE9" s="9" t="s">
        <v>17</v>
      </c>
    </row>
    <row r="10" spans="1:31">
      <c r="A10" s="15" t="s">
        <v>47</v>
      </c>
      <c r="B10" s="15" t="s">
        <v>189</v>
      </c>
      <c r="C10" s="15" t="s">
        <v>49</v>
      </c>
      <c r="D10"/>
      <c r="E10" s="15" t="s">
        <v>47</v>
      </c>
      <c r="F10" s="3">
        <v>1</v>
      </c>
      <c r="G10" s="15" t="s">
        <v>187</v>
      </c>
      <c r="H10" s="3">
        <v>0</v>
      </c>
      <c r="I10" s="15" t="s">
        <v>187</v>
      </c>
      <c r="J10" s="3">
        <v>1</v>
      </c>
      <c r="K10" s="9" t="s">
        <v>187</v>
      </c>
      <c r="L10" s="9" t="s">
        <v>189</v>
      </c>
      <c r="M10" s="9" t="s">
        <v>187</v>
      </c>
      <c r="N10" s="9" t="s">
        <v>31</v>
      </c>
      <c r="O10" s="15" t="s">
        <v>187</v>
      </c>
      <c r="P10" s="3">
        <v>-1</v>
      </c>
      <c r="Q10" s="3">
        <v>-1</v>
      </c>
      <c r="R10" s="3">
        <v>-1</v>
      </c>
      <c r="S10" s="3">
        <v>-1</v>
      </c>
      <c r="T10" s="3">
        <v>-1</v>
      </c>
      <c r="U10" s="3"/>
      <c r="V10" s="16">
        <v>2015</v>
      </c>
      <c r="W10" s="16" t="str">
        <f t="shared" si="0"/>
        <v/>
      </c>
      <c r="Z10" s="9"/>
      <c r="AA10" s="9"/>
      <c r="AB10" s="9"/>
      <c r="AE10" s="9" t="s">
        <v>18</v>
      </c>
    </row>
    <row r="11" spans="1:31">
      <c r="B11"/>
      <c r="C11" s="15" t="s">
        <v>50</v>
      </c>
      <c r="D11"/>
      <c r="E11"/>
      <c r="M11"/>
      <c r="N11"/>
      <c r="V11" s="16">
        <v>2016</v>
      </c>
      <c r="W11" s="16" t="str">
        <f t="shared" si="0"/>
        <v/>
      </c>
      <c r="Z11" s="9"/>
      <c r="AA11" s="9"/>
      <c r="AB11" s="9"/>
      <c r="AE11" s="9" t="s">
        <v>19</v>
      </c>
    </row>
    <row r="12" spans="1:31">
      <c r="B12"/>
      <c r="C12" s="15" t="s">
        <v>51</v>
      </c>
      <c r="D12" s="15"/>
      <c r="E12"/>
      <c r="M12"/>
      <c r="N12"/>
      <c r="V12" s="16">
        <v>2017</v>
      </c>
      <c r="W12" s="16" t="str">
        <f t="shared" si="0"/>
        <v/>
      </c>
      <c r="Z12" s="9"/>
      <c r="AA12" s="9"/>
      <c r="AB12" s="9"/>
      <c r="AE12" s="9" t="s">
        <v>20</v>
      </c>
    </row>
    <row r="13" spans="1:31">
      <c r="B13"/>
      <c r="C13" s="15" t="s">
        <v>52</v>
      </c>
      <c r="D13" s="15"/>
      <c r="E13"/>
      <c r="M13"/>
      <c r="N13"/>
      <c r="V13" s="16">
        <v>2018</v>
      </c>
      <c r="W13" s="16" t="str">
        <f t="shared" si="0"/>
        <v/>
      </c>
      <c r="Z13" s="9"/>
      <c r="AA13" s="9"/>
      <c r="AB13" s="9"/>
      <c r="AE13" s="9" t="s">
        <v>21</v>
      </c>
    </row>
    <row r="14" spans="1:31">
      <c r="B14"/>
      <c r="C14" s="15" t="s">
        <v>53</v>
      </c>
      <c r="D14" s="15"/>
      <c r="E14"/>
      <c r="M14"/>
      <c r="N14"/>
      <c r="V14" s="16">
        <v>2019</v>
      </c>
      <c r="Z14" s="9"/>
      <c r="AA14" s="9"/>
      <c r="AB14" s="9"/>
      <c r="AE14" s="9" t="s">
        <v>22</v>
      </c>
    </row>
    <row r="15" spans="1:31">
      <c r="B15"/>
      <c r="C15" s="15" t="s">
        <v>54</v>
      </c>
      <c r="D15" s="15"/>
      <c r="E15"/>
      <c r="M15"/>
      <c r="N15"/>
      <c r="V15" s="16">
        <v>2020</v>
      </c>
      <c r="Z15" s="9"/>
      <c r="AA15" s="9"/>
      <c r="AB15" s="9"/>
      <c r="AE15" s="9" t="s">
        <v>23</v>
      </c>
    </row>
    <row r="16" spans="1:31">
      <c r="B16"/>
      <c r="C16" s="15" t="s">
        <v>55</v>
      </c>
      <c r="D16" s="15"/>
      <c r="E16"/>
      <c r="M16"/>
      <c r="N16"/>
      <c r="V16" s="16">
        <v>2021</v>
      </c>
      <c r="Z16" s="9"/>
      <c r="AA16" s="9"/>
      <c r="AB16" s="9"/>
      <c r="AE16" s="9" t="s">
        <v>5</v>
      </c>
    </row>
    <row r="17" spans="1:31">
      <c r="B17"/>
      <c r="E17"/>
      <c r="M17"/>
      <c r="N17"/>
      <c r="V17" s="16">
        <v>2022</v>
      </c>
      <c r="X17"/>
      <c r="Z17" s="9"/>
      <c r="AA17" s="9"/>
      <c r="AB17" s="9"/>
      <c r="AE17" s="9" t="s">
        <v>24</v>
      </c>
    </row>
    <row r="18" spans="1:31">
      <c r="B18"/>
      <c r="E18"/>
      <c r="M18"/>
      <c r="N18"/>
      <c r="V18" s="16">
        <v>2023</v>
      </c>
      <c r="X18"/>
      <c r="Z18" s="9"/>
      <c r="AA18" s="9"/>
      <c r="AB18" s="9"/>
      <c r="AE18" s="9" t="s">
        <v>26</v>
      </c>
    </row>
    <row r="19" spans="1:31">
      <c r="B19"/>
      <c r="E19"/>
      <c r="M19"/>
      <c r="N19"/>
      <c r="V19" s="16">
        <v>2024</v>
      </c>
      <c r="Z19" s="9"/>
      <c r="AA19" s="9"/>
      <c r="AB19" s="9"/>
      <c r="AE19" s="9" t="s">
        <v>25</v>
      </c>
    </row>
    <row r="20" spans="1:31">
      <c r="B20"/>
      <c r="E20"/>
      <c r="M20"/>
      <c r="N20"/>
      <c r="V20" s="16">
        <v>2025</v>
      </c>
      <c r="Z20" s="9"/>
      <c r="AA20" s="9"/>
      <c r="AB20" s="9"/>
      <c r="AE20" s="9" t="s">
        <v>12</v>
      </c>
    </row>
    <row r="21" spans="1:31">
      <c r="B21"/>
      <c r="E21"/>
      <c r="M21"/>
      <c r="N21"/>
      <c r="V21" s="16">
        <v>2026</v>
      </c>
      <c r="Z21" s="9"/>
      <c r="AA21" s="9"/>
      <c r="AB21" s="9"/>
      <c r="AE21" s="9" t="s">
        <v>12</v>
      </c>
    </row>
    <row r="22" spans="1:31">
      <c r="B22"/>
      <c r="E22"/>
      <c r="M22"/>
      <c r="N22"/>
      <c r="V22" s="16">
        <v>2027</v>
      </c>
      <c r="Z22" s="9"/>
      <c r="AA22" s="9"/>
      <c r="AB22" s="9"/>
      <c r="AE22" s="9" t="s">
        <v>12</v>
      </c>
    </row>
    <row r="23" spans="1:31">
      <c r="B23"/>
      <c r="E23"/>
      <c r="M23"/>
      <c r="N23"/>
      <c r="V23" s="16">
        <v>2028</v>
      </c>
      <c r="Z23" s="9"/>
      <c r="AA23" s="9"/>
      <c r="AB23" s="9"/>
      <c r="AE23" s="9" t="s">
        <v>12</v>
      </c>
    </row>
    <row r="24" spans="1:31">
      <c r="A24" s="9"/>
      <c r="V24" s="16">
        <v>2029</v>
      </c>
      <c r="Z24" s="9"/>
      <c r="AA24" s="9"/>
      <c r="AB24" s="9"/>
      <c r="AE24" s="9"/>
    </row>
    <row r="25" spans="1:31">
      <c r="A25" s="9"/>
      <c r="V25" s="16">
        <v>2030</v>
      </c>
      <c r="Z25" s="9"/>
      <c r="AA25" s="9"/>
      <c r="AB25" s="9"/>
      <c r="AE25" s="9"/>
    </row>
    <row r="26" spans="1:31">
      <c r="A26" s="9"/>
      <c r="V26" s="16">
        <v>2031</v>
      </c>
      <c r="Z26" s="9"/>
      <c r="AA26" s="9"/>
      <c r="AB26" s="9"/>
      <c r="AE26" s="9"/>
    </row>
    <row r="27" spans="1:31">
      <c r="A27" s="9"/>
      <c r="V27" s="16">
        <v>2032</v>
      </c>
      <c r="Z27" s="9"/>
      <c r="AA27" s="9"/>
      <c r="AB27" s="9"/>
      <c r="AE27" s="9"/>
    </row>
    <row r="28" spans="1:31">
      <c r="A28" s="9"/>
      <c r="V28" s="16">
        <v>2033</v>
      </c>
      <c r="Z28" s="9"/>
      <c r="AA28" s="9"/>
      <c r="AB28" s="9"/>
      <c r="AE28" s="9"/>
    </row>
    <row r="29" spans="1:31">
      <c r="A29" s="9"/>
      <c r="V29" s="16">
        <v>2034</v>
      </c>
      <c r="Z29" s="9"/>
      <c r="AA29" s="9"/>
      <c r="AB29" s="9"/>
      <c r="AE29" s="9"/>
    </row>
    <row r="30" spans="1:31">
      <c r="A30" s="9"/>
      <c r="V30" s="16">
        <v>2035</v>
      </c>
      <c r="Z30" s="9"/>
      <c r="AA30" s="9"/>
      <c r="AB30" s="9"/>
      <c r="AE30" s="9"/>
    </row>
    <row r="31" spans="1:31">
      <c r="A31" s="9"/>
      <c r="V31" s="16">
        <v>2036</v>
      </c>
      <c r="Z31" s="9"/>
      <c r="AA31" s="9"/>
      <c r="AB31" s="9"/>
      <c r="AE31" s="9"/>
    </row>
    <row r="32" spans="1:31">
      <c r="A32" s="9"/>
      <c r="V32" s="16">
        <v>2037</v>
      </c>
      <c r="Z32" s="9"/>
      <c r="AA32" s="9"/>
      <c r="AB32" s="9"/>
      <c r="AE32" s="9"/>
    </row>
    <row r="33" spans="1:31">
      <c r="A33" s="9"/>
      <c r="V33" s="16">
        <v>2038</v>
      </c>
      <c r="Z33" s="9"/>
      <c r="AA33" s="9"/>
      <c r="AB33" s="9"/>
      <c r="AE33" s="9"/>
    </row>
    <row r="34" spans="1:31">
      <c r="A34" s="9"/>
      <c r="V34" s="16">
        <v>2039</v>
      </c>
      <c r="Z34" s="9"/>
      <c r="AA34" s="9"/>
      <c r="AB34" s="9"/>
      <c r="AE34" s="9"/>
    </row>
    <row r="35" spans="1:31">
      <c r="A35" s="9"/>
      <c r="V35" s="16">
        <v>2040</v>
      </c>
      <c r="Z35" s="9"/>
      <c r="AA35" s="9"/>
      <c r="AB35" s="9"/>
      <c r="AE35" s="9"/>
    </row>
    <row r="36" spans="1:31">
      <c r="A36" s="9"/>
      <c r="V36" s="16">
        <v>2041</v>
      </c>
      <c r="Z36" s="9"/>
      <c r="AA36" s="9"/>
      <c r="AB36" s="9"/>
      <c r="AE36" s="9"/>
    </row>
    <row r="37" spans="1:31">
      <c r="A37" s="9"/>
      <c r="V37" s="16">
        <v>2042</v>
      </c>
      <c r="Z37" s="9"/>
      <c r="AA37" s="9"/>
      <c r="AB37" s="9"/>
      <c r="AE37" s="9"/>
    </row>
    <row r="38" spans="1:31">
      <c r="A38" s="9"/>
      <c r="V38" s="16">
        <v>2043</v>
      </c>
      <c r="Z38" s="9"/>
      <c r="AA38" s="9"/>
      <c r="AB38" s="9"/>
      <c r="AE38" s="9"/>
    </row>
    <row r="39" spans="1:31">
      <c r="A39" s="9"/>
      <c r="V39" s="16">
        <v>2044</v>
      </c>
      <c r="Z39" s="9"/>
      <c r="AA39" s="9"/>
      <c r="AB39" s="9"/>
      <c r="AE39" s="9"/>
    </row>
    <row r="40" spans="1:31">
      <c r="A40" s="9"/>
      <c r="V40" s="16">
        <v>2045</v>
      </c>
      <c r="Z40" s="9"/>
      <c r="AA40" s="9"/>
      <c r="AB40" s="9"/>
      <c r="AE40" s="9"/>
    </row>
    <row r="41" spans="1:31">
      <c r="A41" s="9"/>
      <c r="V41" s="16">
        <v>2046</v>
      </c>
      <c r="Z41" s="9"/>
      <c r="AA41" s="9"/>
      <c r="AB41" s="9"/>
      <c r="AE41" s="9"/>
    </row>
    <row r="42" spans="1:31">
      <c r="A42" s="9"/>
      <c r="V42" s="16">
        <v>2047</v>
      </c>
      <c r="Z42" s="9"/>
      <c r="AA42" s="9"/>
      <c r="AB42" s="9"/>
      <c r="AE42" s="9"/>
    </row>
    <row r="43" spans="1:31">
      <c r="A43" s="9"/>
      <c r="V43" s="16">
        <v>2048</v>
      </c>
      <c r="Z43" s="9"/>
      <c r="AA43" s="9"/>
      <c r="AB43" s="9"/>
      <c r="AE43" s="9"/>
    </row>
    <row r="44" spans="1:31">
      <c r="A44" s="9"/>
      <c r="V44" s="16">
        <v>2049</v>
      </c>
      <c r="Z44" s="9"/>
      <c r="AA44" s="9"/>
      <c r="AB44" s="9"/>
      <c r="AE44" s="9"/>
    </row>
    <row r="45" spans="1:31">
      <c r="A45" s="9"/>
      <c r="V45" s="16">
        <v>2050</v>
      </c>
      <c r="Z45" s="9"/>
      <c r="AA45" s="9"/>
      <c r="AB45" s="9"/>
      <c r="AE45" s="9"/>
    </row>
    <row r="46" spans="1:31">
      <c r="A46" s="9"/>
      <c r="Z46" s="9"/>
      <c r="AA46" s="9"/>
      <c r="AB46" s="9"/>
    </row>
    <row r="47" spans="1:31">
      <c r="A47" s="9"/>
      <c r="Z47" s="9"/>
      <c r="AA47" s="9"/>
      <c r="AB47" s="9"/>
    </row>
    <row r="48" spans="1:31">
      <c r="A48" s="9"/>
      <c r="Z48" s="9"/>
      <c r="AA48" s="9"/>
      <c r="AB48" s="9"/>
    </row>
    <row r="49" spans="1:28">
      <c r="A49" s="9"/>
      <c r="Z49" s="9"/>
      <c r="AA49" s="9"/>
      <c r="AB49" s="9"/>
    </row>
    <row r="50" spans="1:28">
      <c r="A50" s="9"/>
      <c r="Z50" s="9"/>
      <c r="AA50" s="9"/>
      <c r="AB50" s="9"/>
    </row>
    <row r="51" spans="1:28">
      <c r="A51" s="9"/>
      <c r="Z51" s="9"/>
      <c r="AA51" s="9"/>
      <c r="AB51" s="9"/>
    </row>
  </sheetData>
  <phoneticPr fontId="34" type="noConversion"/>
  <pageMargins left="0.7" right="0.7" top="0.75" bottom="0.75" header="0.3" footer="0.3"/>
  <pageSetup paperSize="9"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X12"/>
  <sheetViews>
    <sheetView workbookViewId="0">
      <selection activeCell="F8" sqref="F8"/>
    </sheetView>
    <sheetView tabSelected="1" topLeftCell="G1" workbookViewId="1">
      <selection activeCell="Q6" sqref="Q6:AD6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9" customWidth="1"/>
    <col min="5" max="5" width="20.28515625" customWidth="1"/>
    <col min="6" max="6" width="20.28515625" style="9" customWidth="1"/>
    <col min="7" max="12" width="11.5703125" style="9" customWidth="1"/>
    <col min="13" max="13" width="7" style="9" customWidth="1"/>
    <col min="14" max="14" width="8.140625" style="9" customWidth="1"/>
    <col min="15" max="15" width="11.5703125" customWidth="1"/>
    <col min="18" max="30" width="5.5703125" customWidth="1"/>
    <col min="31" max="49" width="6.42578125" customWidth="1"/>
  </cols>
  <sheetData>
    <row r="1" spans="1:50">
      <c r="B1" s="9"/>
      <c r="C1" s="9"/>
      <c r="E1" s="9"/>
    </row>
    <row r="2" spans="1:50">
      <c r="B2" s="9"/>
      <c r="E2" s="9"/>
    </row>
    <row r="3" spans="1:50">
      <c r="B3" s="9"/>
      <c r="E3" s="9"/>
    </row>
    <row r="4" spans="1:50">
      <c r="B4" s="9"/>
      <c r="E4" s="9"/>
    </row>
    <row r="5" spans="1:50" ht="45">
      <c r="A5" s="8"/>
      <c r="G5" s="10" t="s">
        <v>65</v>
      </c>
      <c r="H5" s="12"/>
      <c r="I5" s="12"/>
      <c r="J5" s="12"/>
      <c r="K5" s="12"/>
      <c r="L5" s="12"/>
      <c r="M5" s="12"/>
      <c r="N5" s="12"/>
    </row>
    <row r="6" spans="1:50">
      <c r="A6" s="6"/>
      <c r="B6" s="5"/>
      <c r="D6" s="11"/>
      <c r="E6" s="4"/>
      <c r="F6" s="13"/>
      <c r="G6" s="9">
        <v>3</v>
      </c>
      <c r="H6" s="13"/>
      <c r="I6" s="13"/>
      <c r="J6" s="13"/>
      <c r="K6" s="13"/>
      <c r="L6" s="13"/>
      <c r="M6" s="13"/>
      <c r="N6" s="13"/>
      <c r="Q6" s="18" t="s">
        <v>27</v>
      </c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</row>
    <row r="7" spans="1:50" ht="45">
      <c r="A7" s="7" t="s">
        <v>10</v>
      </c>
      <c r="B7" s="2" t="s">
        <v>37</v>
      </c>
      <c r="C7" s="2" t="s">
        <v>6</v>
      </c>
      <c r="D7" s="2" t="s">
        <v>30</v>
      </c>
      <c r="E7" s="2" t="s">
        <v>29</v>
      </c>
      <c r="F7" s="2" t="s">
        <v>36</v>
      </c>
      <c r="G7" s="10" t="s">
        <v>14</v>
      </c>
      <c r="H7" s="10" t="s">
        <v>38</v>
      </c>
      <c r="I7" s="10" t="s">
        <v>39</v>
      </c>
      <c r="J7" s="10" t="s">
        <v>190</v>
      </c>
      <c r="K7" s="10" t="s">
        <v>191</v>
      </c>
      <c r="L7" s="10" t="s">
        <v>192</v>
      </c>
      <c r="M7" s="10" t="s">
        <v>194</v>
      </c>
      <c r="N7" s="10" t="s">
        <v>193</v>
      </c>
      <c r="O7" s="10" t="s">
        <v>13</v>
      </c>
      <c r="Q7">
        <v>2018</v>
      </c>
      <c r="R7">
        <f>Q7+1</f>
        <v>2019</v>
      </c>
      <c r="S7" s="9">
        <f t="shared" ref="S7:AW7" si="0">R7+1</f>
        <v>2020</v>
      </c>
      <c r="T7" s="9">
        <f t="shared" si="0"/>
        <v>2021</v>
      </c>
      <c r="U7" s="9">
        <f t="shared" si="0"/>
        <v>2022</v>
      </c>
      <c r="V7" s="9">
        <f t="shared" si="0"/>
        <v>2023</v>
      </c>
      <c r="W7" s="9">
        <f t="shared" si="0"/>
        <v>2024</v>
      </c>
      <c r="X7" s="9">
        <f t="shared" si="0"/>
        <v>2025</v>
      </c>
      <c r="Y7" s="9">
        <f t="shared" si="0"/>
        <v>2026</v>
      </c>
      <c r="Z7" s="9">
        <f t="shared" si="0"/>
        <v>2027</v>
      </c>
      <c r="AA7" s="9">
        <f t="shared" si="0"/>
        <v>2028</v>
      </c>
      <c r="AB7" s="9">
        <f t="shared" si="0"/>
        <v>2029</v>
      </c>
      <c r="AC7" s="9">
        <f t="shared" si="0"/>
        <v>2030</v>
      </c>
      <c r="AD7" s="9">
        <f t="shared" si="0"/>
        <v>2031</v>
      </c>
      <c r="AE7" s="9">
        <f t="shared" si="0"/>
        <v>2032</v>
      </c>
      <c r="AF7" s="9">
        <f t="shared" si="0"/>
        <v>2033</v>
      </c>
      <c r="AG7" s="9">
        <f t="shared" si="0"/>
        <v>2034</v>
      </c>
      <c r="AH7" s="9">
        <f t="shared" si="0"/>
        <v>2035</v>
      </c>
      <c r="AI7" s="9">
        <f t="shared" si="0"/>
        <v>2036</v>
      </c>
      <c r="AJ7" s="9">
        <f t="shared" si="0"/>
        <v>2037</v>
      </c>
      <c r="AK7" s="9">
        <f t="shared" si="0"/>
        <v>2038</v>
      </c>
      <c r="AL7" s="9">
        <f t="shared" si="0"/>
        <v>2039</v>
      </c>
      <c r="AM7" s="9">
        <f t="shared" si="0"/>
        <v>2040</v>
      </c>
      <c r="AN7" s="9">
        <f t="shared" si="0"/>
        <v>2041</v>
      </c>
      <c r="AO7" s="9">
        <f t="shared" si="0"/>
        <v>2042</v>
      </c>
      <c r="AP7" s="9">
        <f t="shared" si="0"/>
        <v>2043</v>
      </c>
      <c r="AQ7" s="9">
        <f t="shared" si="0"/>
        <v>2044</v>
      </c>
      <c r="AR7" s="9">
        <f t="shared" si="0"/>
        <v>2045</v>
      </c>
      <c r="AS7" s="9">
        <f t="shared" si="0"/>
        <v>2046</v>
      </c>
      <c r="AT7" s="9">
        <f t="shared" si="0"/>
        <v>2047</v>
      </c>
      <c r="AU7" s="9">
        <f t="shared" si="0"/>
        <v>2048</v>
      </c>
      <c r="AV7" s="9">
        <f t="shared" si="0"/>
        <v>2049</v>
      </c>
      <c r="AW7" s="9">
        <f t="shared" si="0"/>
        <v>2050</v>
      </c>
    </row>
    <row r="8" spans="1:50" s="9" customFormat="1">
      <c r="A8" s="9">
        <v>1</v>
      </c>
      <c r="B8" s="9" t="s">
        <v>47</v>
      </c>
      <c r="D8" s="9" t="s">
        <v>31</v>
      </c>
      <c r="E8" s="9" t="s">
        <v>32</v>
      </c>
      <c r="F8" s="9">
        <v>1</v>
      </c>
      <c r="G8" s="9">
        <v>1</v>
      </c>
      <c r="H8" s="9">
        <v>0</v>
      </c>
      <c r="I8" s="9">
        <v>0</v>
      </c>
      <c r="J8" s="9">
        <v>-1</v>
      </c>
      <c r="K8" s="9">
        <v>-1</v>
      </c>
      <c r="L8" s="9">
        <v>-1</v>
      </c>
      <c r="M8" s="9">
        <v>-1</v>
      </c>
      <c r="N8" s="9">
        <v>-1</v>
      </c>
      <c r="O8" s="9">
        <v>100</v>
      </c>
      <c r="P8" s="9" t="str">
        <f>B8</f>
        <v>Run0</v>
      </c>
    </row>
    <row r="9" spans="1:50" s="9" customFormat="1">
      <c r="A9" s="9">
        <v>0</v>
      </c>
      <c r="B9" s="9" t="s">
        <v>183</v>
      </c>
      <c r="D9" s="9" t="s">
        <v>31</v>
      </c>
      <c r="E9" s="9" t="s">
        <v>184</v>
      </c>
      <c r="F9" s="9">
        <v>0</v>
      </c>
      <c r="G9" s="9">
        <v>1</v>
      </c>
      <c r="H9" s="9">
        <v>0</v>
      </c>
      <c r="I9" s="9">
        <v>0</v>
      </c>
      <c r="J9" s="9">
        <v>1</v>
      </c>
      <c r="K9" s="9">
        <v>1</v>
      </c>
      <c r="L9" s="9">
        <v>1</v>
      </c>
      <c r="M9" s="9">
        <v>1</v>
      </c>
      <c r="N9" s="9">
        <v>1</v>
      </c>
      <c r="O9" s="9">
        <v>100</v>
      </c>
      <c r="P9" s="9" t="str">
        <f t="shared" ref="P9:P11" si="1">B9</f>
        <v>CentralPAMS</v>
      </c>
    </row>
    <row r="10" spans="1:50" s="9" customFormat="1">
      <c r="A10" s="9">
        <v>0</v>
      </c>
      <c r="B10" s="9" t="s">
        <v>187</v>
      </c>
      <c r="D10" s="9" t="s">
        <v>31</v>
      </c>
      <c r="E10" s="9" t="s">
        <v>189</v>
      </c>
      <c r="F10" s="9">
        <v>0</v>
      </c>
      <c r="G10" s="9">
        <v>1</v>
      </c>
      <c r="H10" s="9">
        <v>0</v>
      </c>
      <c r="I10" s="9">
        <v>0</v>
      </c>
      <c r="J10" s="9">
        <v>-1</v>
      </c>
      <c r="K10" s="9">
        <v>-1</v>
      </c>
      <c r="L10" s="9">
        <v>-1</v>
      </c>
      <c r="M10" s="9">
        <v>-1</v>
      </c>
      <c r="N10" s="9">
        <v>-1</v>
      </c>
      <c r="O10" s="9">
        <v>100</v>
      </c>
      <c r="P10" s="9" t="str">
        <f t="shared" si="1"/>
        <v>CentralPAMSnoCoal</v>
      </c>
      <c r="AX10" s="9" t="s">
        <v>188</v>
      </c>
    </row>
    <row r="11" spans="1:50" s="9" customFormat="1">
      <c r="A11" s="9">
        <v>0</v>
      </c>
      <c r="B11" s="9" t="s">
        <v>185</v>
      </c>
      <c r="D11" s="9" t="s">
        <v>31</v>
      </c>
      <c r="E11" s="9" t="s">
        <v>186</v>
      </c>
      <c r="F11" s="9">
        <v>0</v>
      </c>
      <c r="G11" s="9">
        <v>0</v>
      </c>
      <c r="H11" s="9">
        <v>0</v>
      </c>
      <c r="I11" s="9">
        <v>0</v>
      </c>
      <c r="J11" s="9">
        <v>1</v>
      </c>
      <c r="K11" s="9">
        <v>1</v>
      </c>
      <c r="L11" s="9">
        <v>1</v>
      </c>
      <c r="M11" s="9">
        <v>1</v>
      </c>
      <c r="N11" s="9">
        <v>1</v>
      </c>
      <c r="O11" s="9">
        <v>100</v>
      </c>
      <c r="P11" s="9" t="str">
        <f t="shared" si="1"/>
        <v>NoPAMSForcedCoal</v>
      </c>
    </row>
    <row r="12" spans="1:50">
      <c r="O12" s="9"/>
      <c r="P12" s="9"/>
    </row>
  </sheetData>
  <mergeCells count="1">
    <mergeCell ref="Q6:AD6"/>
  </mergeCells>
  <conditionalFormatting sqref="A5">
    <cfRule type="expression" dxfId="1" priority="567">
      <formula>SUM($A$8:$A$11)&gt;4</formula>
    </cfRule>
    <cfRule type="expression" dxfId="0" priority="568">
      <formula>SUM($A$8:$A$11)&lt;1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D8:D9 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  <sheetView workbookViewId="1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  <sheetView workbookViewId="1"/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9" customFormat="1">
      <c r="C1" s="2" t="s">
        <v>115</v>
      </c>
      <c r="D1" s="2" t="s">
        <v>110</v>
      </c>
    </row>
    <row r="2" spans="3:8" s="9" customFormat="1">
      <c r="C2" s="2" t="s">
        <v>112</v>
      </c>
    </row>
    <row r="3" spans="3:8" s="9" customFormat="1">
      <c r="C3" s="9" t="s">
        <v>114</v>
      </c>
      <c r="D3" s="9" t="s">
        <v>111</v>
      </c>
    </row>
    <row r="4" spans="3:8" s="9" customFormat="1">
      <c r="C4" s="9" t="s">
        <v>113</v>
      </c>
      <c r="D4" s="9" t="s">
        <v>111</v>
      </c>
      <c r="H4" s="2" t="s">
        <v>120</v>
      </c>
    </row>
    <row r="5" spans="3:8" s="9" customFormat="1">
      <c r="C5" s="9" t="s">
        <v>116</v>
      </c>
      <c r="D5" s="9" t="s">
        <v>111</v>
      </c>
      <c r="H5" t="s">
        <v>121</v>
      </c>
    </row>
    <row r="6" spans="3:8" s="9" customFormat="1">
      <c r="C6" s="9" t="s">
        <v>118</v>
      </c>
      <c r="D6" s="9" t="s">
        <v>111</v>
      </c>
      <c r="H6" t="s">
        <v>122</v>
      </c>
    </row>
    <row r="7" spans="3:8" s="9" customFormat="1">
      <c r="G7" s="9" t="s">
        <v>111</v>
      </c>
      <c r="H7" t="s">
        <v>123</v>
      </c>
    </row>
    <row r="8" spans="3:8">
      <c r="C8" s="2" t="s">
        <v>99</v>
      </c>
      <c r="G8" t="s">
        <v>169</v>
      </c>
      <c r="H8" t="s">
        <v>124</v>
      </c>
    </row>
    <row r="9" spans="3:8">
      <c r="C9" t="s">
        <v>98</v>
      </c>
      <c r="G9" t="s">
        <v>175</v>
      </c>
      <c r="H9" t="s">
        <v>125</v>
      </c>
    </row>
    <row r="10" spans="3:8">
      <c r="G10" t="s">
        <v>111</v>
      </c>
      <c r="H10" t="s">
        <v>126</v>
      </c>
    </row>
    <row r="11" spans="3:8">
      <c r="C11" s="2" t="s">
        <v>119</v>
      </c>
    </row>
    <row r="12" spans="3:8">
      <c r="C12" t="s">
        <v>72</v>
      </c>
      <c r="H12" t="s">
        <v>127</v>
      </c>
    </row>
    <row r="13" spans="3:8">
      <c r="G13" t="s">
        <v>170</v>
      </c>
      <c r="H13" t="s">
        <v>128</v>
      </c>
    </row>
    <row r="14" spans="3:8">
      <c r="C14" s="2" t="s">
        <v>73</v>
      </c>
      <c r="G14" t="s">
        <v>172</v>
      </c>
      <c r="H14" t="s">
        <v>129</v>
      </c>
    </row>
    <row r="15" spans="3:8">
      <c r="C15" t="s">
        <v>74</v>
      </c>
      <c r="G15" t="s">
        <v>170</v>
      </c>
      <c r="H15" t="s">
        <v>130</v>
      </c>
    </row>
    <row r="16" spans="3:8">
      <c r="C16" t="s">
        <v>75</v>
      </c>
    </row>
    <row r="17" spans="3:8">
      <c r="C17" t="s">
        <v>76</v>
      </c>
      <c r="H17" t="s">
        <v>131</v>
      </c>
    </row>
    <row r="18" spans="3:8">
      <c r="C18" t="s">
        <v>86</v>
      </c>
      <c r="G18" s="9" t="s">
        <v>172</v>
      </c>
      <c r="H18" t="s">
        <v>132</v>
      </c>
    </row>
    <row r="19" spans="3:8">
      <c r="C19" t="s">
        <v>97</v>
      </c>
      <c r="G19" s="9" t="s">
        <v>176</v>
      </c>
      <c r="H19" t="s">
        <v>133</v>
      </c>
    </row>
    <row r="20" spans="3:8">
      <c r="C20" t="s">
        <v>101</v>
      </c>
    </row>
    <row r="21" spans="3:8">
      <c r="C21" t="s">
        <v>117</v>
      </c>
      <c r="H21" t="s">
        <v>134</v>
      </c>
    </row>
    <row r="22" spans="3:8">
      <c r="H22" t="s">
        <v>135</v>
      </c>
    </row>
    <row r="23" spans="3:8">
      <c r="C23" s="2" t="s">
        <v>77</v>
      </c>
    </row>
    <row r="24" spans="3:8">
      <c r="C24" t="s">
        <v>78</v>
      </c>
      <c r="D24" t="s">
        <v>111</v>
      </c>
      <c r="H24" t="s">
        <v>136</v>
      </c>
    </row>
    <row r="25" spans="3:8">
      <c r="C25" t="s">
        <v>79</v>
      </c>
      <c r="D25" t="s">
        <v>111</v>
      </c>
      <c r="G25" t="s">
        <v>111</v>
      </c>
      <c r="H25" t="s">
        <v>137</v>
      </c>
    </row>
    <row r="26" spans="3:8">
      <c r="C26" t="s">
        <v>85</v>
      </c>
      <c r="G26" t="s">
        <v>172</v>
      </c>
      <c r="H26" s="17" t="s">
        <v>171</v>
      </c>
    </row>
    <row r="27" spans="3:8">
      <c r="H27" t="s">
        <v>138</v>
      </c>
    </row>
    <row r="28" spans="3:8">
      <c r="G28" t="s">
        <v>177</v>
      </c>
      <c r="H28" t="s">
        <v>139</v>
      </c>
    </row>
    <row r="29" spans="3:8">
      <c r="C29" s="2" t="s">
        <v>80</v>
      </c>
      <c r="G29" t="s">
        <v>178</v>
      </c>
    </row>
    <row r="30" spans="3:8">
      <c r="C30" t="s">
        <v>81</v>
      </c>
      <c r="D30" t="s">
        <v>111</v>
      </c>
      <c r="H30" t="s">
        <v>140</v>
      </c>
    </row>
    <row r="31" spans="3:8">
      <c r="C31" t="s">
        <v>105</v>
      </c>
      <c r="D31" t="s">
        <v>111</v>
      </c>
      <c r="G31" t="s">
        <v>175</v>
      </c>
      <c r="H31" t="s">
        <v>141</v>
      </c>
    </row>
    <row r="32" spans="3:8" s="9" customFormat="1">
      <c r="C32" s="9" t="s">
        <v>106</v>
      </c>
      <c r="D32" s="9" t="s">
        <v>111</v>
      </c>
      <c r="H32"/>
    </row>
    <row r="33" spans="3:8" s="9" customFormat="1">
      <c r="H33" t="s">
        <v>142</v>
      </c>
    </row>
    <row r="34" spans="3:8">
      <c r="C34" s="2" t="s">
        <v>84</v>
      </c>
      <c r="G34" t="s">
        <v>170</v>
      </c>
      <c r="H34" t="s">
        <v>143</v>
      </c>
    </row>
    <row r="35" spans="3:8">
      <c r="C35" t="s">
        <v>82</v>
      </c>
      <c r="G35" t="s">
        <v>170</v>
      </c>
      <c r="H35" t="s">
        <v>144</v>
      </c>
    </row>
    <row r="36" spans="3:8">
      <c r="C36" t="s">
        <v>83</v>
      </c>
      <c r="G36" t="s">
        <v>170</v>
      </c>
      <c r="H36" t="s">
        <v>145</v>
      </c>
    </row>
    <row r="37" spans="3:8">
      <c r="G37" t="s">
        <v>180</v>
      </c>
      <c r="H37" t="s">
        <v>146</v>
      </c>
    </row>
    <row r="39" spans="3:8">
      <c r="C39" s="2" t="s">
        <v>107</v>
      </c>
      <c r="H39" t="s">
        <v>147</v>
      </c>
    </row>
    <row r="40" spans="3:8">
      <c r="C40" t="s">
        <v>100</v>
      </c>
      <c r="G40" t="s">
        <v>170</v>
      </c>
      <c r="H40" t="s">
        <v>173</v>
      </c>
    </row>
    <row r="41" spans="3:8">
      <c r="C41" t="s">
        <v>108</v>
      </c>
      <c r="D41" t="s">
        <v>111</v>
      </c>
    </row>
    <row r="42" spans="3:8">
      <c r="C42" t="s">
        <v>109</v>
      </c>
      <c r="H42" t="s">
        <v>148</v>
      </c>
    </row>
    <row r="43" spans="3:8">
      <c r="G43" t="s">
        <v>170</v>
      </c>
      <c r="H43" t="s">
        <v>149</v>
      </c>
    </row>
    <row r="44" spans="3:8">
      <c r="C44" s="2" t="s">
        <v>40</v>
      </c>
    </row>
    <row r="45" spans="3:8">
      <c r="C45" t="s">
        <v>89</v>
      </c>
      <c r="G45" t="s">
        <v>170</v>
      </c>
      <c r="H45" t="s">
        <v>150</v>
      </c>
    </row>
    <row r="46" spans="3:8">
      <c r="C46" t="s">
        <v>87</v>
      </c>
      <c r="D46" t="s">
        <v>111</v>
      </c>
    </row>
    <row r="47" spans="3:8">
      <c r="C47" t="s">
        <v>88</v>
      </c>
      <c r="G47" t="s">
        <v>170</v>
      </c>
      <c r="H47" t="s">
        <v>151</v>
      </c>
    </row>
    <row r="48" spans="3:8">
      <c r="H48" t="s">
        <v>152</v>
      </c>
    </row>
    <row r="49" spans="3:8">
      <c r="G49" t="s">
        <v>170</v>
      </c>
      <c r="H49" t="s">
        <v>153</v>
      </c>
    </row>
    <row r="50" spans="3:8">
      <c r="C50" s="2" t="s">
        <v>90</v>
      </c>
    </row>
    <row r="51" spans="3:8">
      <c r="C51" s="9" t="s">
        <v>92</v>
      </c>
      <c r="H51" s="2" t="s">
        <v>154</v>
      </c>
    </row>
    <row r="52" spans="3:8">
      <c r="C52" s="9" t="s">
        <v>87</v>
      </c>
      <c r="D52" t="s">
        <v>111</v>
      </c>
      <c r="H52" t="s">
        <v>155</v>
      </c>
    </row>
    <row r="53" spans="3:8">
      <c r="C53" s="9" t="s">
        <v>88</v>
      </c>
      <c r="H53" t="s">
        <v>156</v>
      </c>
    </row>
    <row r="55" spans="3:8">
      <c r="H55" t="s">
        <v>157</v>
      </c>
    </row>
    <row r="56" spans="3:8">
      <c r="C56" s="2" t="s">
        <v>91</v>
      </c>
    </row>
    <row r="57" spans="3:8">
      <c r="C57" s="9" t="s">
        <v>93</v>
      </c>
      <c r="G57" t="s">
        <v>170</v>
      </c>
      <c r="H57" t="s">
        <v>158</v>
      </c>
    </row>
    <row r="58" spans="3:8">
      <c r="C58" s="9" t="s">
        <v>87</v>
      </c>
      <c r="D58" t="s">
        <v>111</v>
      </c>
    </row>
    <row r="59" spans="3:8">
      <c r="C59" s="9" t="s">
        <v>88</v>
      </c>
      <c r="G59" t="s">
        <v>170</v>
      </c>
      <c r="H59" t="s">
        <v>159</v>
      </c>
    </row>
    <row r="60" spans="3:8">
      <c r="H60" t="s">
        <v>160</v>
      </c>
    </row>
    <row r="61" spans="3:8">
      <c r="G61" t="s">
        <v>179</v>
      </c>
      <c r="H61" t="s">
        <v>161</v>
      </c>
    </row>
    <row r="62" spans="3:8">
      <c r="C62" s="2" t="s">
        <v>94</v>
      </c>
    </row>
    <row r="63" spans="3:8">
      <c r="C63" t="s">
        <v>95</v>
      </c>
      <c r="H63" t="s">
        <v>162</v>
      </c>
    </row>
    <row r="64" spans="3:8">
      <c r="C64" t="s">
        <v>96</v>
      </c>
      <c r="H64" t="s">
        <v>163</v>
      </c>
    </row>
    <row r="65" spans="3:8">
      <c r="H65" t="s">
        <v>164</v>
      </c>
    </row>
    <row r="66" spans="3:8">
      <c r="H66" t="s">
        <v>165</v>
      </c>
    </row>
    <row r="67" spans="3:8">
      <c r="C67" s="2" t="s">
        <v>102</v>
      </c>
      <c r="H67" t="s">
        <v>166</v>
      </c>
    </row>
    <row r="68" spans="3:8">
      <c r="C68" t="s">
        <v>103</v>
      </c>
      <c r="G68" t="s">
        <v>111</v>
      </c>
      <c r="H68" t="s">
        <v>174</v>
      </c>
    </row>
    <row r="69" spans="3:8">
      <c r="C69" t="s">
        <v>104</v>
      </c>
    </row>
    <row r="71" spans="3:8">
      <c r="H71" s="2" t="s">
        <v>167</v>
      </c>
    </row>
    <row r="72" spans="3:8">
      <c r="H72" t="s">
        <v>168</v>
      </c>
    </row>
    <row r="74" spans="3:8">
      <c r="G74" t="s">
        <v>182</v>
      </c>
      <c r="H74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2020-08-05T14:52:18Z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