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1F51BDDE-2BA6-48EC-A45B-A01435AD763A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72" r:id="rId9"/>
    <pivotCache cacheId="17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4" l="1"/>
  <c r="A6" i="33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Fadiel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P15" authorId="6" shapeId="0" xr:uid="{22E6F2FC-D861-4562-98A8-7F93D98C219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The 6.5 GT is 8Gt including waste and afolu.</t>
        </r>
      </text>
    </comment>
    <comment ref="D16" authorId="7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9" authorId="6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9" authorId="10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9" authorId="6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20" authorId="6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20" authorId="11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20" authorId="6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21" authorId="12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8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9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20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1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2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3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4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5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6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7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8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9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30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1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2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3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4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5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6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7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<sst xmlns="http://schemas.openxmlformats.org/spreadsheetml/2006/main" count="569" uniqueCount="249">
  <si>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</si>
  <si>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</si>
  <si>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</si>
  <si>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</si>
  <si>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</si>
  <si>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</si>
  <si>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</si>
  <si>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</si>
  <si>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</si>
  <si>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</si>
  <si>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</si>
  <si>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</si>
  <si>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</si>
  <si>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</si>
  <si>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</si>
  <si>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</si>
  <si>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</si>
  <si>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</si>
  <si>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</si>
  <si>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</si>
  <si>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</si>
  <si>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</si>
  <si>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</si>
  <si>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</si>
  <si>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</si>
  <si>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</si>
  <si>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</si>
  <si>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</si>
  <si>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</si>
  <si>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</si>
  <si>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</si>
  <si>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</si>
  <si>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</si>
  <si>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</si>
  <si>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</si>
  <si>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</si>
  <si>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</si>
  <si>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</si>
  <si>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</si>
  <si>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</si>
  <si>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</si>
  <si>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</si>
  <si>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</si>
  <si>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</si>
  <si>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</si>
  <si>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</si>
  <si>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</si>
  <si>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</si>
  <si>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</si>
  <si>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</si>
  <si>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</si>
  <si>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</si>
  <si>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</si>
  <si>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</si>
  <si>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</si>
  <si>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</si>
  <si>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</si>
  <si>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</si>
  <si>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</si>
  <si>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</si>
  <si>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</si>
  <si>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</si>
  <si>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</si>
  <si>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</si>
  <si>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</si>
  <si>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</si>
  <si>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</si>
  <si>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</si>
  <si>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</si>
  <si>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</si>
  <si>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</si>
  <si>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</si>
  <si>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</si>
  <si>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</si>
  <si>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</si>
  <si>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</si>
  <si>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</si>
  <si>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</si>
  <si>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</si>
  <si>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</si>
  <si>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</si>
  <si>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</si>
  <si>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</si>
  <si>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</si>
  <si>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</si>
  <si>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</si>
  <si>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</si>
  <si>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</si>
  <si>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</si>
  <si>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</si>
  <si>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</si>
  <si>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</si>
  <si>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</si>
  <si>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</si>
  <si>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</si>
  <si>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</si>
  <si>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</si>
  <si>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</si>
  <si>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</si>
  <si>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</si>
  <si>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</si>
  <si>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</si>
  <si>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</si>
  <si>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</si>
  <si>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</si>
  <si>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</si>
  <si>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</si>
  <si>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</si>
  <si>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</si>
  <si>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</si>
  <si>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</si>
  <si>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</si>
  <si>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</si>
  <si>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</si>
  <si>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</si>
  <si>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</si>
  <si>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</si>
  <si>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</si>
  <si>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</si>
  <si>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</si>
  <si>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</si>
  <si>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</si>
  <si>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</si>
  <si>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</si>
  <si>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</si>
  <si>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</si>
  <si>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</si>
  <si>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</si>
  <si>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</si>
  <si>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</si>
  <si>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</si>
  <si>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</si>
  <si>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</si>
  <si>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</si>
  <si>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</si>
  <si>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</si>
  <si>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</si>
  <si>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</si>
  <si>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</si>
  <si>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</si>
  <si>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</si>
  <si>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</si>
  <si>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</si>
  <si>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</si>
  <si>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</si>
  <si>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</si>
  <si>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</si>
  <si>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</si>
  <si>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</si>
  <si>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</si>
  <si>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</si>
  <si>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</si>
  <si>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</si>
  <si>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</si>
  <si>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</si>
  <si>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</si>
  <si>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</si>
  <si>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</si>
  <si>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</si>
  <si>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</si>
  <si>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</si>
  <si>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</si>
  <si>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</si>
  <si>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</si>
  <si>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</si>
  <si>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</si>
  <si>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</si>
  <si>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</si>
  <si>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</si>
  <si>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</si>
  <si>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</si>
  <si>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</si>
  <si>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</si>
  <si>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</si>
  <si>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</si>
  <si>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</si>
  <si>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</si>
  <si>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</si>
  <si>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</si>
  <si>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</si>
  <si>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</si>
  <si>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</si>
  <si>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</si>
  <si>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</si>
  <si>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</si>
  <si>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</si>
  <si>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</si>
  <si>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</si>
  <si>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</si>
  <si>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</si>
  <si>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</si>
  <si>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</si>
  <si>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</si>
  <si>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</si>
  <si>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</si>
  <si>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</si>
  <si>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</si>
  <si>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</si>
  <si>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</si>
  <si>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</si>
  <si>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</si>
  <si>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</si>
  <si>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</si>
  <si>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</si>
  <si>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</si>
  <si>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</si>
  <si>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</si>
  <si>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</si>
  <si>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</si>
  <si>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</si>
  <si>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</si>
  <si>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</si>
  <si>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</si>
  <si>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</si>
  <si>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</si>
  <si>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</si>
  <si>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</si>
  <si>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</si>
  <si>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</si>
  <si>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</si>
  <si>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</si>
  <si>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</si>
  <si>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</si>
  <si>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0RG_NZ20_7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</si>
  <si>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</si>
  <si>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</si>
  <si>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</si>
  <si>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</si>
  <si>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</si>
  <si>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</si>
  <si>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</si>
  <si>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</si>
  <si>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</si>
  <si>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</si>
  <si>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0RG_NZ20_7_WE</t>
  </si>
  <si>
    <t>0RG_NZ45_6_WE</t>
  </si>
  <si>
    <t>0RG_NOPAMS_REF_WE</t>
  </si>
  <si>
    <t>NOPAMSWE</t>
  </si>
  <si>
    <t>0RG_NZ20_8_NoH2</t>
  </si>
  <si>
    <t>0RG_NZ20_8_WE_NoH2</t>
  </si>
  <si>
    <t>NZ-20NENH</t>
  </si>
  <si>
    <t>NZ-20WENH</t>
  </si>
  <si>
    <t>CP20NEWH</t>
  </si>
  <si>
    <t>0RG_CPL20_U_NE</t>
  </si>
  <si>
    <t>0RG_CPM20_9_NE</t>
  </si>
  <si>
    <t>0RG_NZ20_8</t>
  </si>
  <si>
    <t>0RG_NZ20_8_WE</t>
  </si>
  <si>
    <t>EB_Fix_2022</t>
  </si>
  <si>
    <t>NZ-20WE-T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</si>
</sst>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3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Source Sans Pro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FFC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41" fillId="0" borderId="0" xfId="0" applyFont="1"/>
    <xf numFmtId="0" fontId="42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14.481892245371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32">
        <s v="NOPAMSREF"/>
        <s v="NOPAMSWE"/>
        <s v="NZ-20WE-T"/>
        <s v="NZ-20NE"/>
        <s v="NZ-20WE"/>
        <s v="NZ-20NENH"/>
        <s v="NZ-20WENH"/>
        <s v="CP20NEWH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Z-20NE-08" u="1"/>
        <s v="NOPAMS_LEAF" u="1"/>
        <s v="NOPAMSCAPCR2" u="1"/>
        <s v="CPM20NE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20WE-08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Z-20WENH-08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14.481894907411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EB_Fix_2022"/>
        <s v="0RG_NZ20_7"/>
        <s v="0RG_NZ20_7_WE"/>
        <s v="0RG_NZ20_8_NoH2"/>
        <s v="0RG_NZ20_8_WE_NoH2"/>
        <s v="0RG_NZ20_8"/>
        <s v="0RG_NZ20_8_WE"/>
        <s v="0RG_CPM20_9_NE"/>
        <s v="0RG_CPL20_U_N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1"/>
    <x v="2"/>
    <s v="yes tested"/>
    <x v="0"/>
    <x v="2"/>
    <n v="0"/>
    <n v="0"/>
    <s v="NZ_nopams_20afolu"/>
    <n v="0"/>
    <n v="0"/>
    <n v="-1"/>
    <n v="-1"/>
    <n v="-1"/>
    <n v="1"/>
    <n v="4"/>
    <n v="4.4793989999999999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4"/>
    <s v="yes tested"/>
    <x v="0"/>
    <x v="4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5"/>
    <n v="1"/>
    <n v="1"/>
    <s v="NZ_nopams_20afolu"/>
    <n v="1"/>
    <n v="1"/>
    <n v="-1"/>
    <n v="-1"/>
    <n v="-1"/>
    <n v="1"/>
    <n v="4"/>
    <n v="6.4793989999999999"/>
  </r>
  <r>
    <n v="0"/>
    <x v="6"/>
    <s v="yes tested"/>
    <x v="0"/>
    <x v="6"/>
    <n v="1"/>
    <n v="1"/>
    <s v="NZ_nopams_20afolu"/>
    <n v="1"/>
    <n v="1"/>
    <n v="-1"/>
    <n v="-1"/>
    <n v="-1"/>
    <n v="1"/>
    <n v="4"/>
    <n v="6.4793989999999999"/>
  </r>
  <r>
    <n v="0"/>
    <x v="7"/>
    <s v="yes tested"/>
    <x v="0"/>
    <x v="3"/>
    <n v="1"/>
    <n v="1"/>
    <s v="NZ_nopams_20afolu"/>
    <n v="1"/>
    <n v="1"/>
    <n v="-1"/>
    <n v="-1"/>
    <n v="-1"/>
    <n v="1"/>
    <n v="4"/>
    <n v="6.4793989999999999"/>
  </r>
  <r>
    <n v="0"/>
    <x v="8"/>
    <s v="yes tested"/>
    <x v="0"/>
    <x v="4"/>
    <n v="1"/>
    <n v="1"/>
    <s v="NZ_nopams_20afolu"/>
    <n v="1"/>
    <n v="1"/>
    <n v="-1"/>
    <n v="-1"/>
    <n v="-1"/>
    <n v="1"/>
    <n v="4"/>
    <n v="6.4793989999999999"/>
  </r>
  <r>
    <n v="0"/>
    <x v="9"/>
    <s v="yes tested"/>
    <x v="0"/>
    <x v="7"/>
    <n v="1"/>
    <n v="1"/>
    <s v="NZ_nopams_20afolu"/>
    <n v="1"/>
    <n v="1"/>
    <n v="-1"/>
    <n v="-1"/>
    <n v="-1"/>
    <n v="1"/>
    <n v="4"/>
    <n v="7.75"/>
  </r>
  <r>
    <n v="0"/>
    <x v="10"/>
    <s v="yes tested"/>
    <x v="0"/>
    <x v="7"/>
    <n v="0"/>
    <n v="1"/>
    <s v="NZ_nopams_20afolu"/>
    <n v="0"/>
    <n v="0"/>
    <n v="-1"/>
    <n v="-1"/>
    <n v="-1"/>
    <n v="1"/>
    <n v="4"/>
    <n v="100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9"/>
    <n v="1"/>
    <n v="1"/>
    <s v="NZ_nopams_45afolu"/>
    <n v="1"/>
    <n v="1"/>
    <n v="-1"/>
    <n v="-1"/>
    <n v="-1"/>
    <n v="1"/>
    <n v="5"/>
    <n v="4.7911130000000002"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1"/>
    <x v="2"/>
    <s v="yes tested"/>
    <s v="base"/>
    <s v="NZ-20WE-T"/>
    <n v="0"/>
    <n v="0"/>
    <s v="NZ_nopams_20afolu"/>
    <n v="0"/>
    <n v="0"/>
    <n v="-1"/>
    <n v="-1"/>
    <n v="-1"/>
    <n v="1"/>
    <n v="4"/>
    <n v="4.4793989999999999"/>
  </r>
  <r>
    <n v="0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"/>
    <n v="1"/>
    <n v="1"/>
    <s v="NZ_nopams_20afolu"/>
    <n v="1"/>
    <n v="1"/>
    <n v="-1"/>
    <n v="-1"/>
    <n v="-1"/>
    <n v="1"/>
    <n v="4"/>
    <n v="6.4793989999999999"/>
  </r>
  <r>
    <n v="0"/>
    <x v="6"/>
    <s v="yes tested"/>
    <s v="base"/>
    <s v="NZ-20WENH"/>
    <n v="1"/>
    <n v="1"/>
    <s v="NZ_nopams_20afolu"/>
    <n v="1"/>
    <n v="1"/>
    <n v="-1"/>
    <n v="-1"/>
    <n v="-1"/>
    <n v="1"/>
    <n v="4"/>
    <n v="6.4793989999999999"/>
  </r>
  <r>
    <n v="0"/>
    <x v="7"/>
    <s v="yes tested"/>
    <s v="base"/>
    <s v="NZ-20NE"/>
    <n v="1"/>
    <n v="1"/>
    <s v="NZ_nopams_20afolu"/>
    <n v="1"/>
    <n v="1"/>
    <n v="-1"/>
    <n v="-1"/>
    <n v="-1"/>
    <n v="1"/>
    <n v="4"/>
    <n v="6.4793989999999999"/>
  </r>
  <r>
    <n v="0"/>
    <x v="8"/>
    <s v="yes tested"/>
    <s v="base"/>
    <s v="NZ-20WE"/>
    <n v="1"/>
    <n v="1"/>
    <s v="NZ_nopams_20afolu"/>
    <n v="1"/>
    <n v="1"/>
    <n v="-1"/>
    <n v="-1"/>
    <n v="-1"/>
    <n v="1"/>
    <n v="4"/>
    <n v="6.4793989999999999"/>
  </r>
  <r>
    <n v="0"/>
    <x v="9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10"/>
    <s v="yes tested"/>
    <s v="base"/>
    <s v="CP20NEWH"/>
    <n v="0"/>
    <n v="1"/>
    <s v="NZ_nopams_20afolu"/>
    <n v="0"/>
    <n v="0"/>
    <n v="-1"/>
    <n v="-1"/>
    <n v="-1"/>
    <n v="1"/>
    <n v="4"/>
    <n v="100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33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93"/>
    </i>
    <i>
      <x v="106"/>
    </i>
    <i>
      <x v="107"/>
    </i>
    <i>
      <x v="109"/>
    </i>
    <i>
      <x v="111"/>
    </i>
    <i>
      <x v="118"/>
    </i>
    <i>
      <x v="124"/>
    </i>
    <i>
      <x v="125"/>
    </i>
    <i>
      <x v="130"/>
    </i>
    <i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73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10"/>
        <item x="9"/>
        <item x="0"/>
        <item x="1"/>
        <item x="3"/>
        <item x="4"/>
        <item x="7"/>
        <item x="5"/>
        <item x="8"/>
        <item x="6"/>
        <item x="11"/>
        <item x="12"/>
        <item x="13"/>
        <item x="14"/>
        <item x="2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2">
        <item m="1" x="79"/>
        <item m="1" x="58"/>
        <item m="1" x="50"/>
        <item x="10"/>
        <item m="1" x="57"/>
        <item m="1" x="25"/>
        <item m="1" x="69"/>
        <item m="1" x="84"/>
        <item m="1" x="53"/>
        <item m="1" x="59"/>
        <item m="1" x="54"/>
        <item m="1" x="41"/>
        <item m="1" x="13"/>
        <item m="1" x="67"/>
        <item m="1" x="11"/>
        <item m="1" x="116"/>
        <item m="1" x="35"/>
        <item m="1" x="100"/>
        <item m="1" x="110"/>
        <item m="1" x="42"/>
        <item m="1" x="37"/>
        <item m="1" x="104"/>
        <item m="1" x="73"/>
        <item m="1" x="74"/>
        <item m="1" x="101"/>
        <item m="1" x="48"/>
        <item m="1" x="97"/>
        <item m="1" x="18"/>
        <item m="1" x="28"/>
        <item m="1" x="128"/>
        <item m="1" x="81"/>
        <item m="1" x="111"/>
        <item m="1" x="61"/>
        <item m="1" x="113"/>
        <item m="1" x="120"/>
        <item m="1" x="65"/>
        <item m="1" x="82"/>
        <item m="1" x="78"/>
        <item m="1" x="109"/>
        <item m="1" x="107"/>
        <item m="1" x="32"/>
        <item m="1" x="123"/>
        <item m="1" x="76"/>
        <item m="1" x="94"/>
        <item m="1" x="106"/>
        <item m="1" x="125"/>
        <item m="1" x="131"/>
        <item m="1" x="62"/>
        <item m="1" x="52"/>
        <item m="1" x="51"/>
        <item m="1" x="85"/>
        <item m="1" x="56"/>
        <item m="1" x="92"/>
        <item m="1" x="26"/>
        <item m="1" x="66"/>
        <item m="1" x="91"/>
        <item m="1" x="108"/>
        <item m="1" x="64"/>
        <item m="1" x="60"/>
        <item m="1" x="22"/>
        <item m="1" x="115"/>
        <item m="1" x="34"/>
        <item m="1" x="44"/>
        <item m="1" x="71"/>
        <item m="1" x="80"/>
        <item m="1" x="45"/>
        <item m="1" x="16"/>
        <item m="1" x="75"/>
        <item m="1" x="83"/>
        <item m="1" x="38"/>
        <item m="1" x="99"/>
        <item m="1" x="112"/>
        <item m="1" x="68"/>
        <item m="1" x="40"/>
        <item m="1" x="46"/>
        <item m="1" x="33"/>
        <item m="1" x="87"/>
        <item m="1" x="15"/>
        <item m="1" x="93"/>
        <item m="1" x="105"/>
        <item m="1" x="121"/>
        <item m="1" x="102"/>
        <item m="1" x="118"/>
        <item m="1" x="129"/>
        <item m="1" x="47"/>
        <item m="1" x="98"/>
        <item m="1" x="127"/>
        <item m="1" x="23"/>
        <item m="1" x="30"/>
        <item m="1" x="49"/>
        <item m="1" x="77"/>
        <item m="1" x="19"/>
        <item m="1" x="21"/>
        <item x="0"/>
        <item m="1" x="14"/>
        <item m="1" x="117"/>
        <item m="1" x="55"/>
        <item m="1" x="114"/>
        <item m="1" x="31"/>
        <item m="1" x="119"/>
        <item m="1" x="90"/>
        <item m="1" x="70"/>
        <item m="1" x="39"/>
        <item m="1" x="89"/>
        <item m="1" x="12"/>
        <item m="1" x="103"/>
        <item x="4"/>
        <item x="3"/>
        <item m="1" x="88"/>
        <item x="8"/>
        <item m="1" x="27"/>
        <item x="9"/>
        <item m="1" x="43"/>
        <item m="1" x="36"/>
        <item m="1" x="29"/>
        <item m="1" x="126"/>
        <item m="1" x="130"/>
        <item m="1" x="122"/>
        <item x="1"/>
        <item m="1" x="63"/>
        <item m="1" x="24"/>
        <item m="1" x="17"/>
        <item m="1" x="72"/>
        <item m="1" x="124"/>
        <item x="5"/>
        <item x="6"/>
        <item m="1" x="96"/>
        <item m="1" x="95"/>
        <item m="1" x="20"/>
        <item m="1" x="86"/>
        <item x="7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93"/>
    </i>
    <i>
      <x v="5"/>
      <x v="106"/>
    </i>
    <i>
      <x v="6"/>
      <x v="106"/>
    </i>
    <i>
      <x v="7"/>
      <x v="111"/>
    </i>
    <i>
      <x v="8"/>
      <x v="109"/>
    </i>
    <i>
      <x v="9"/>
      <x v="118"/>
    </i>
    <i>
      <x v="10"/>
      <x v="124"/>
    </i>
    <i>
      <x v="11"/>
      <x v="125"/>
    </i>
    <i>
      <x v="12"/>
      <x v="130"/>
    </i>
    <i>
      <x v="13"/>
      <x v="130"/>
    </i>
    <i>
      <x v="14"/>
      <x v="107"/>
    </i>
    <i>
      <x v="15"/>
      <x v="106"/>
    </i>
    <i>
      <x v="16"/>
      <x v="1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7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72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3"/>
        <item x="0"/>
        <item x="12"/>
        <item x="4"/>
        <item x="14"/>
        <item x="13"/>
        <item x="1"/>
        <item x="5"/>
        <item x="6"/>
        <item x="10"/>
        <item x="9"/>
        <item x="7"/>
        <item x="8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19" sqref="C1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R1" workbookViewId="0">
      <selection activeCell="AD9" sqref="AD9"/>
    </sheetView>
  </sheetViews>
  <sheetFormatPr defaultRowHeight="15"/>
  <cols>
    <col min="1" max="1" width="22" bestFit="1" customWidth="1"/>
    <col min="2" max="2" width="13.1406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243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6">
        <v>2017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244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6">
        <v>2018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227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5.4793989999999999</v>
      </c>
      <c r="AC9" s="3"/>
      <c r="AD9" s="14">
        <v>2019</v>
      </c>
      <c r="AE9" s="14" t="str">
        <f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236</v>
      </c>
      <c r="B10" s="13" t="s">
        <v>222</v>
      </c>
      <c r="C10" s="13" t="s">
        <v>46</v>
      </c>
      <c r="D10"/>
      <c r="E10" s="13" t="s">
        <v>227</v>
      </c>
      <c r="F10" s="3">
        <v>0</v>
      </c>
      <c r="G10" s="13" t="s">
        <v>227</v>
      </c>
      <c r="H10" s="3">
        <v>0</v>
      </c>
      <c r="I10" s="13" t="s">
        <v>227</v>
      </c>
      <c r="J10" s="3">
        <v>1</v>
      </c>
      <c r="K10" s="13" t="s">
        <v>227</v>
      </c>
      <c r="L10" s="3">
        <v>0</v>
      </c>
      <c r="M10" s="13" t="s">
        <v>227</v>
      </c>
      <c r="N10" s="3">
        <v>0</v>
      </c>
      <c r="O10" s="7" t="s">
        <v>227</v>
      </c>
      <c r="P10" s="7" t="s">
        <v>219</v>
      </c>
      <c r="Q10" s="7" t="s">
        <v>227</v>
      </c>
      <c r="R10" s="7" t="s">
        <v>30</v>
      </c>
      <c r="S10" s="13" t="s">
        <v>227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227</v>
      </c>
      <c r="AB10" s="3">
        <v>100</v>
      </c>
      <c r="AC10" s="3"/>
      <c r="AD10" s="14">
        <v>2020</v>
      </c>
      <c r="AE10" s="14" t="str">
        <f t="shared" ref="AE10:AE13" si="0">IF(OR(AE9=2050,AE9=""),"",AE9+1)</f>
        <v/>
      </c>
      <c r="AH10" s="7"/>
      <c r="AI10" s="7"/>
      <c r="AJ10" s="7"/>
      <c r="AM10" s="7" t="s">
        <v>17</v>
      </c>
    </row>
    <row r="11" spans="1:39">
      <c r="A11" s="13" t="s">
        <v>223</v>
      </c>
      <c r="B11" s="13" t="s">
        <v>224</v>
      </c>
      <c r="C11" s="13" t="s">
        <v>47</v>
      </c>
      <c r="D11"/>
      <c r="E11" s="13" t="s">
        <v>233</v>
      </c>
      <c r="F11" s="3">
        <v>0</v>
      </c>
      <c r="G11" s="13" t="s">
        <v>233</v>
      </c>
      <c r="H11" s="3">
        <v>1</v>
      </c>
      <c r="I11" s="13" t="s">
        <v>233</v>
      </c>
      <c r="J11" s="3">
        <v>1</v>
      </c>
      <c r="K11" s="13" t="s">
        <v>233</v>
      </c>
      <c r="L11" s="3">
        <v>1</v>
      </c>
      <c r="M11" s="13" t="s">
        <v>233</v>
      </c>
      <c r="N11" s="3">
        <v>1</v>
      </c>
      <c r="O11" s="7" t="s">
        <v>233</v>
      </c>
      <c r="P11" s="7" t="s">
        <v>221</v>
      </c>
      <c r="Q11" s="7" t="s">
        <v>233</v>
      </c>
      <c r="R11" s="7" t="s">
        <v>30</v>
      </c>
      <c r="S11" s="13" t="s">
        <v>233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233</v>
      </c>
      <c r="AB11" s="3">
        <v>100</v>
      </c>
      <c r="AD11" s="14">
        <v>2021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234</v>
      </c>
      <c r="B12" s="13" t="s">
        <v>226</v>
      </c>
      <c r="C12" s="13" t="s">
        <v>48</v>
      </c>
      <c r="D12" s="13"/>
      <c r="E12" s="13" t="s">
        <v>234</v>
      </c>
      <c r="F12" s="3">
        <v>0</v>
      </c>
      <c r="G12" s="13" t="s">
        <v>234</v>
      </c>
      <c r="H12" s="3">
        <v>1</v>
      </c>
      <c r="I12" s="13" t="s">
        <v>234</v>
      </c>
      <c r="J12" s="3">
        <v>1</v>
      </c>
      <c r="K12" s="13" t="s">
        <v>234</v>
      </c>
      <c r="L12" s="3">
        <v>1</v>
      </c>
      <c r="M12" s="13" t="s">
        <v>234</v>
      </c>
      <c r="N12" s="3">
        <v>1</v>
      </c>
      <c r="O12" s="7" t="s">
        <v>234</v>
      </c>
      <c r="P12" s="7" t="s">
        <v>221</v>
      </c>
      <c r="Q12" s="7" t="s">
        <v>234</v>
      </c>
      <c r="R12" s="7" t="s">
        <v>30</v>
      </c>
      <c r="S12" s="13" t="s">
        <v>234</v>
      </c>
      <c r="T12" s="3">
        <v>-1</v>
      </c>
      <c r="U12" s="3">
        <v>-1</v>
      </c>
      <c r="V12" s="3">
        <v>-1</v>
      </c>
      <c r="W12" s="3">
        <v>1</v>
      </c>
      <c r="X12" s="3">
        <v>4</v>
      </c>
      <c r="Y12" s="3"/>
      <c r="Z12" s="3"/>
      <c r="AA12" s="13" t="s">
        <v>234</v>
      </c>
      <c r="AB12" s="3">
        <v>5.4793989999999999</v>
      </c>
      <c r="AD12" s="14">
        <v>2022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245</v>
      </c>
      <c r="B13" s="13" t="s">
        <v>237</v>
      </c>
      <c r="C13" s="13" t="s">
        <v>49</v>
      </c>
      <c r="D13" s="13"/>
      <c r="E13" s="13" t="s">
        <v>235</v>
      </c>
      <c r="F13" s="3">
        <v>0</v>
      </c>
      <c r="G13" s="13" t="s">
        <v>235</v>
      </c>
      <c r="H13" s="3">
        <v>1</v>
      </c>
      <c r="I13" s="13" t="s">
        <v>235</v>
      </c>
      <c r="J13" s="3">
        <v>1</v>
      </c>
      <c r="K13" s="13" t="s">
        <v>235</v>
      </c>
      <c r="L13" s="3">
        <v>1</v>
      </c>
      <c r="M13" s="13" t="s">
        <v>235</v>
      </c>
      <c r="N13" s="3">
        <v>1</v>
      </c>
      <c r="O13" s="7" t="s">
        <v>235</v>
      </c>
      <c r="P13" s="7" t="s">
        <v>226</v>
      </c>
      <c r="Q13" s="7" t="s">
        <v>235</v>
      </c>
      <c r="R13" s="7" t="s">
        <v>30</v>
      </c>
      <c r="S13" s="13" t="s">
        <v>235</v>
      </c>
      <c r="T13" s="3">
        <v>-1</v>
      </c>
      <c r="U13" s="3">
        <v>-1</v>
      </c>
      <c r="V13" s="3">
        <v>-1</v>
      </c>
      <c r="W13" s="3">
        <v>1</v>
      </c>
      <c r="X13" s="3">
        <v>5</v>
      </c>
      <c r="Y13" s="3"/>
      <c r="Z13" s="3"/>
      <c r="AA13" s="13" t="s">
        <v>235</v>
      </c>
      <c r="AB13" s="3">
        <v>4.7911130000000002</v>
      </c>
      <c r="AD13" s="14">
        <v>2023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238</v>
      </c>
      <c r="B14" s="13" t="s">
        <v>240</v>
      </c>
      <c r="C14" s="13" t="s">
        <v>50</v>
      </c>
      <c r="D14" s="13"/>
      <c r="E14" s="13" t="s">
        <v>225</v>
      </c>
      <c r="F14" s="3">
        <v>0</v>
      </c>
      <c r="G14" s="13" t="s">
        <v>225</v>
      </c>
      <c r="H14" s="3">
        <v>1</v>
      </c>
      <c r="I14" s="13" t="s">
        <v>225</v>
      </c>
      <c r="J14" s="3">
        <v>1</v>
      </c>
      <c r="K14" s="13" t="s">
        <v>225</v>
      </c>
      <c r="L14" s="3">
        <v>1</v>
      </c>
      <c r="M14" s="13" t="s">
        <v>225</v>
      </c>
      <c r="N14" s="3">
        <v>1</v>
      </c>
      <c r="O14" s="7" t="s">
        <v>225</v>
      </c>
      <c r="P14" s="7" t="s">
        <v>224</v>
      </c>
      <c r="Q14" s="7" t="s">
        <v>225</v>
      </c>
      <c r="R14" s="7" t="s">
        <v>30</v>
      </c>
      <c r="S14" s="13" t="s">
        <v>225</v>
      </c>
      <c r="T14" s="3">
        <v>-1</v>
      </c>
      <c r="U14" s="3">
        <v>-1</v>
      </c>
      <c r="V14" s="3">
        <v>-1</v>
      </c>
      <c r="W14" s="3">
        <v>1</v>
      </c>
      <c r="X14" s="3">
        <v>5</v>
      </c>
      <c r="Y14" s="3"/>
      <c r="Z14" s="3"/>
      <c r="AA14" s="13" t="s">
        <v>225</v>
      </c>
      <c r="AB14" s="3">
        <v>4.7911130000000002</v>
      </c>
      <c r="AD14" s="14">
        <v>2024</v>
      </c>
      <c r="AH14" s="7"/>
      <c r="AI14" s="7"/>
      <c r="AJ14" s="7"/>
      <c r="AM14" s="7" t="s">
        <v>21</v>
      </c>
    </row>
    <row r="15" spans="1:39">
      <c r="A15" s="13" t="s">
        <v>246</v>
      </c>
      <c r="B15" s="13" t="s">
        <v>241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0</v>
      </c>
      <c r="I15" s="13" t="s">
        <v>236</v>
      </c>
      <c r="J15" s="3">
        <v>1</v>
      </c>
      <c r="K15" s="13" t="s">
        <v>236</v>
      </c>
      <c r="L15" s="3">
        <v>0</v>
      </c>
      <c r="M15" s="13" t="s">
        <v>236</v>
      </c>
      <c r="N15" s="3">
        <v>0</v>
      </c>
      <c r="O15" s="7" t="s">
        <v>236</v>
      </c>
      <c r="P15" s="7" t="s">
        <v>237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236</v>
      </c>
      <c r="AB15" s="3">
        <v>4.4793989999999999</v>
      </c>
      <c r="AD15" s="14">
        <v>2025</v>
      </c>
      <c r="AH15" s="7"/>
      <c r="AI15" s="7"/>
      <c r="AJ15" s="7"/>
      <c r="AM15" s="7" t="s">
        <v>22</v>
      </c>
    </row>
    <row r="16" spans="1:39">
      <c r="A16" s="13" t="s">
        <v>239</v>
      </c>
      <c r="B16" s="13" t="s">
        <v>242</v>
      </c>
      <c r="C16" s="13" t="s">
        <v>52</v>
      </c>
      <c r="D16" s="13"/>
      <c r="E16" s="13" t="s">
        <v>238</v>
      </c>
      <c r="F16" s="3">
        <v>0</v>
      </c>
      <c r="G16" s="13" t="s">
        <v>238</v>
      </c>
      <c r="H16" s="3">
        <v>1</v>
      </c>
      <c r="I16" s="13" t="s">
        <v>238</v>
      </c>
      <c r="J16" s="3">
        <v>1</v>
      </c>
      <c r="K16" s="13" t="s">
        <v>238</v>
      </c>
      <c r="L16" s="3">
        <v>1</v>
      </c>
      <c r="M16" s="13" t="s">
        <v>238</v>
      </c>
      <c r="N16" s="3">
        <v>1</v>
      </c>
      <c r="O16" s="7" t="s">
        <v>238</v>
      </c>
      <c r="P16" s="7" t="s">
        <v>240</v>
      </c>
      <c r="Q16" s="7" t="s">
        <v>238</v>
      </c>
      <c r="R16" s="7" t="s">
        <v>30</v>
      </c>
      <c r="S16" s="13" t="s">
        <v>238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238</v>
      </c>
      <c r="AB16" s="3">
        <v>6.4793989999999999</v>
      </c>
      <c r="AD16" s="14">
        <v>2026</v>
      </c>
      <c r="AH16" s="7"/>
      <c r="AI16" s="7"/>
      <c r="AJ16" s="7"/>
      <c r="AM16" s="7" t="s">
        <v>5</v>
      </c>
    </row>
    <row r="17" spans="1:39">
      <c r="A17" s="13" t="s">
        <v>220</v>
      </c>
      <c r="B17" s="13" t="s">
        <v>248</v>
      </c>
      <c r="E17" s="13" t="s">
        <v>239</v>
      </c>
      <c r="F17" s="3">
        <v>0</v>
      </c>
      <c r="G17" s="13" t="s">
        <v>239</v>
      </c>
      <c r="H17" s="3">
        <v>1</v>
      </c>
      <c r="I17" s="13" t="s">
        <v>239</v>
      </c>
      <c r="J17" s="3">
        <v>1</v>
      </c>
      <c r="K17" s="13" t="s">
        <v>239</v>
      </c>
      <c r="L17" s="3">
        <v>1</v>
      </c>
      <c r="M17" s="13" t="s">
        <v>239</v>
      </c>
      <c r="N17" s="3">
        <v>1</v>
      </c>
      <c r="O17" s="7" t="s">
        <v>239</v>
      </c>
      <c r="P17" s="7" t="s">
        <v>241</v>
      </c>
      <c r="Q17" s="7" t="s">
        <v>239</v>
      </c>
      <c r="R17" s="7" t="s">
        <v>30</v>
      </c>
      <c r="S17" s="13" t="s">
        <v>239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239</v>
      </c>
      <c r="AB17" s="3">
        <v>6.4793989999999999</v>
      </c>
      <c r="AD17" s="14">
        <v>2027</v>
      </c>
      <c r="AF17"/>
      <c r="AH17" s="7"/>
      <c r="AI17" s="7"/>
      <c r="AJ17" s="7"/>
      <c r="AM17" s="7" t="s">
        <v>23</v>
      </c>
    </row>
    <row r="18" spans="1:39">
      <c r="A18" s="13" t="s">
        <v>233</v>
      </c>
      <c r="B18"/>
      <c r="E18" s="13" t="s">
        <v>243</v>
      </c>
      <c r="F18" s="3">
        <v>0</v>
      </c>
      <c r="G18" s="13" t="s">
        <v>243</v>
      </c>
      <c r="H18" s="3">
        <v>0</v>
      </c>
      <c r="I18" s="13" t="s">
        <v>243</v>
      </c>
      <c r="J18" s="3">
        <v>1</v>
      </c>
      <c r="K18" s="13" t="s">
        <v>243</v>
      </c>
      <c r="L18" s="3">
        <v>0</v>
      </c>
      <c r="M18" s="13" t="s">
        <v>243</v>
      </c>
      <c r="N18" s="3">
        <v>0</v>
      </c>
      <c r="O18" s="7" t="s">
        <v>243</v>
      </c>
      <c r="P18" s="7" t="s">
        <v>242</v>
      </c>
      <c r="Q18" s="7" t="s">
        <v>243</v>
      </c>
      <c r="R18" s="7" t="s">
        <v>30</v>
      </c>
      <c r="S18" s="13" t="s">
        <v>243</v>
      </c>
      <c r="T18" s="3">
        <v>-1</v>
      </c>
      <c r="U18" s="3">
        <v>-1</v>
      </c>
      <c r="V18" s="3">
        <v>-1</v>
      </c>
      <c r="W18" s="3">
        <v>1</v>
      </c>
      <c r="X18" s="3">
        <v>4</v>
      </c>
      <c r="Y18" s="3"/>
      <c r="Z18" s="3"/>
      <c r="AA18" s="13" t="s">
        <v>243</v>
      </c>
      <c r="AB18" s="3">
        <v>100</v>
      </c>
      <c r="AD18" s="14">
        <v>2028</v>
      </c>
      <c r="AF18"/>
      <c r="AH18" s="7"/>
      <c r="AI18" s="7"/>
      <c r="AJ18" s="7"/>
      <c r="AM18" s="7" t="s">
        <v>25</v>
      </c>
    </row>
    <row r="19" spans="1:39">
      <c r="A19" s="13" t="s">
        <v>225</v>
      </c>
      <c r="B19"/>
      <c r="E19" s="13" t="s">
        <v>244</v>
      </c>
      <c r="F19" s="3">
        <v>0</v>
      </c>
      <c r="G19" s="13" t="s">
        <v>244</v>
      </c>
      <c r="H19" s="3">
        <v>1</v>
      </c>
      <c r="I19" s="13" t="s">
        <v>244</v>
      </c>
      <c r="J19" s="3">
        <v>1</v>
      </c>
      <c r="K19" s="13" t="s">
        <v>244</v>
      </c>
      <c r="L19" s="3">
        <v>1</v>
      </c>
      <c r="M19" s="13" t="s">
        <v>244</v>
      </c>
      <c r="N19" s="3">
        <v>1</v>
      </c>
      <c r="O19" s="7" t="s">
        <v>244</v>
      </c>
      <c r="P19" s="7" t="s">
        <v>242</v>
      </c>
      <c r="Q19" s="7" t="s">
        <v>244</v>
      </c>
      <c r="R19" s="7" t="s">
        <v>30</v>
      </c>
      <c r="S19" s="13" t="s">
        <v>244</v>
      </c>
      <c r="T19" s="3">
        <v>-1</v>
      </c>
      <c r="U19" s="3">
        <v>-1</v>
      </c>
      <c r="V19" s="3">
        <v>-1</v>
      </c>
      <c r="W19" s="3">
        <v>1</v>
      </c>
      <c r="X19" s="3">
        <v>4</v>
      </c>
      <c r="Y19" s="3"/>
      <c r="Z19" s="3"/>
      <c r="AA19" s="13" t="s">
        <v>244</v>
      </c>
      <c r="AB19" s="3">
        <v>7.75</v>
      </c>
      <c r="AD19" s="14">
        <v>2029</v>
      </c>
      <c r="AH19" s="7"/>
      <c r="AI19" s="7"/>
      <c r="AJ19" s="7"/>
      <c r="AM19" s="7" t="s">
        <v>24</v>
      </c>
    </row>
    <row r="20" spans="1:39">
      <c r="A20" s="13" t="s">
        <v>235</v>
      </c>
      <c r="B20"/>
      <c r="E20" s="13" t="s">
        <v>245</v>
      </c>
      <c r="F20" s="3">
        <v>0</v>
      </c>
      <c r="G20" s="13" t="s">
        <v>245</v>
      </c>
      <c r="H20" s="3">
        <v>1</v>
      </c>
      <c r="I20" s="13" t="s">
        <v>245</v>
      </c>
      <c r="J20" s="3">
        <v>1</v>
      </c>
      <c r="K20" s="13" t="s">
        <v>245</v>
      </c>
      <c r="L20" s="3">
        <v>1</v>
      </c>
      <c r="M20" s="13" t="s">
        <v>245</v>
      </c>
      <c r="N20" s="3">
        <v>1</v>
      </c>
      <c r="O20" s="7" t="s">
        <v>245</v>
      </c>
      <c r="P20" s="7" t="s">
        <v>222</v>
      </c>
      <c r="Q20" s="7" t="s">
        <v>245</v>
      </c>
      <c r="R20" s="7" t="s">
        <v>30</v>
      </c>
      <c r="S20" s="13" t="s">
        <v>245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245</v>
      </c>
      <c r="AB20" s="3">
        <v>6.4793989999999999</v>
      </c>
      <c r="AD20" s="14">
        <v>2030</v>
      </c>
      <c r="AH20" s="7"/>
      <c r="AI20" s="7"/>
      <c r="AJ20" s="7"/>
      <c r="AM20" s="7" t="s">
        <v>11</v>
      </c>
    </row>
    <row r="21" spans="1:39">
      <c r="A21" s="13" t="s">
        <v>247</v>
      </c>
      <c r="B21"/>
      <c r="E21" s="13" t="s">
        <v>246</v>
      </c>
      <c r="F21" s="3">
        <v>0</v>
      </c>
      <c r="G21" s="13" t="s">
        <v>246</v>
      </c>
      <c r="H21" s="3">
        <v>1</v>
      </c>
      <c r="I21" s="13" t="s">
        <v>246</v>
      </c>
      <c r="J21" s="3">
        <v>1</v>
      </c>
      <c r="K21" s="13" t="s">
        <v>246</v>
      </c>
      <c r="L21" s="3">
        <v>1</v>
      </c>
      <c r="M21" s="13" t="s">
        <v>246</v>
      </c>
      <c r="N21" s="3">
        <v>1</v>
      </c>
      <c r="O21" s="7" t="s">
        <v>246</v>
      </c>
      <c r="P21" s="7" t="s">
        <v>221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2031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1</v>
      </c>
      <c r="G22" s="13" t="s">
        <v>247</v>
      </c>
      <c r="H22" s="3">
        <v>0</v>
      </c>
      <c r="I22" s="13" t="s">
        <v>247</v>
      </c>
      <c r="J22" s="3">
        <v>0</v>
      </c>
      <c r="K22" s="13" t="s">
        <v>247</v>
      </c>
      <c r="L22" s="3">
        <v>0</v>
      </c>
      <c r="M22" s="13" t="s">
        <v>247</v>
      </c>
      <c r="N22" s="3">
        <v>0</v>
      </c>
      <c r="O22" s="7" t="s">
        <v>247</v>
      </c>
      <c r="P22" s="7" t="s">
        <v>248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4.4793989999999999</v>
      </c>
      <c r="AD22" s="14">
        <v>2032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2033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2034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2035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2036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2037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2038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2039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2040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2041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2042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2043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2044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2045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2046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2047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2048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2049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2050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2" sqref="A1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E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229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232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230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8" t="s">
        <v>26</v>
      </c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231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228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227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236</v>
      </c>
      <c r="C11" s="7" t="s">
        <v>195</v>
      </c>
      <c r="D11" s="7" t="s">
        <v>30</v>
      </c>
      <c r="E11" s="7" t="s">
        <v>237</v>
      </c>
      <c r="F11" s="7">
        <v>0</v>
      </c>
      <c r="G11" s="7">
        <v>1</v>
      </c>
      <c r="H11" s="7" t="s">
        <v>229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1</v>
      </c>
      <c r="B12" s="7" t="s">
        <v>247</v>
      </c>
      <c r="C12" s="7" t="s">
        <v>195</v>
      </c>
      <c r="D12" s="7" t="s">
        <v>30</v>
      </c>
      <c r="E12" s="7" t="s">
        <v>248</v>
      </c>
      <c r="F12" s="7">
        <v>0</v>
      </c>
      <c r="G12" s="7">
        <v>0</v>
      </c>
      <c r="H12" s="7" t="s">
        <v>229</v>
      </c>
      <c r="I12" s="7">
        <v>0</v>
      </c>
      <c r="J12" s="7">
        <v>0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223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229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234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229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27" t="s">
        <v>238</v>
      </c>
      <c r="C15" s="7" t="s">
        <v>195</v>
      </c>
      <c r="D15" s="7" t="s">
        <v>30</v>
      </c>
      <c r="E15" s="17" t="s">
        <v>240</v>
      </c>
      <c r="F15" s="7">
        <v>1</v>
      </c>
      <c r="G15" s="7">
        <v>1</v>
      </c>
      <c r="H15" s="7" t="s">
        <v>229</v>
      </c>
      <c r="I15" s="7">
        <v>1</v>
      </c>
      <c r="J15" s="7">
        <v>1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27" t="s">
        <v>239</v>
      </c>
      <c r="C16" s="7" t="s">
        <v>195</v>
      </c>
      <c r="D16" s="7" t="s">
        <v>30</v>
      </c>
      <c r="E16" s="17" t="s">
        <v>241</v>
      </c>
      <c r="F16" s="7">
        <v>1</v>
      </c>
      <c r="G16" s="7">
        <v>1</v>
      </c>
      <c r="H16" s="7" t="s">
        <v>229</v>
      </c>
      <c r="I16" s="7">
        <v>1</v>
      </c>
      <c r="J16" s="7">
        <v>1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27" t="s">
        <v>245</v>
      </c>
      <c r="C17" s="7" t="s">
        <v>195</v>
      </c>
      <c r="D17" s="7" t="s">
        <v>30</v>
      </c>
      <c r="E17" s="17" t="s">
        <v>222</v>
      </c>
      <c r="F17" s="7">
        <v>1</v>
      </c>
      <c r="G17" s="7">
        <v>1</v>
      </c>
      <c r="H17" s="7" t="s">
        <v>229</v>
      </c>
      <c r="I17" s="7">
        <v>1</v>
      </c>
      <c r="J17" s="7">
        <v>1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0</v>
      </c>
      <c r="B18" s="27" t="s">
        <v>246</v>
      </c>
      <c r="C18" s="7" t="s">
        <v>195</v>
      </c>
      <c r="D18" s="7" t="s">
        <v>30</v>
      </c>
      <c r="E18" s="17" t="s">
        <v>221</v>
      </c>
      <c r="F18" s="7">
        <v>1</v>
      </c>
      <c r="G18" s="7">
        <v>1</v>
      </c>
      <c r="H18" s="7" t="s">
        <v>229</v>
      </c>
      <c r="I18" s="7">
        <v>1</v>
      </c>
      <c r="J18" s="7">
        <v>1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26" t="s">
        <v>244</v>
      </c>
      <c r="C19" s="7" t="s">
        <v>195</v>
      </c>
      <c r="D19" s="7" t="s">
        <v>30</v>
      </c>
      <c r="E19" s="17" t="s">
        <v>242</v>
      </c>
      <c r="F19" s="7">
        <v>1</v>
      </c>
      <c r="G19" s="7">
        <v>1</v>
      </c>
      <c r="H19" s="7" t="s">
        <v>229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7.75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>
      <c r="A20" s="22">
        <v>0</v>
      </c>
      <c r="B20" s="25" t="s">
        <v>243</v>
      </c>
      <c r="C20" s="7" t="s">
        <v>195</v>
      </c>
      <c r="D20" s="7" t="s">
        <v>30</v>
      </c>
      <c r="E20" s="17" t="s">
        <v>242</v>
      </c>
      <c r="F20" s="7">
        <v>0</v>
      </c>
      <c r="G20" s="7">
        <v>1</v>
      </c>
      <c r="H20" s="7" t="s">
        <v>229</v>
      </c>
      <c r="I20" s="7">
        <v>0</v>
      </c>
      <c r="J20" s="7">
        <v>0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100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229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233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229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225</v>
      </c>
      <c r="C23" s="7" t="s">
        <v>195</v>
      </c>
      <c r="D23" s="7" t="s">
        <v>30</v>
      </c>
      <c r="E23" s="7" t="s">
        <v>224</v>
      </c>
      <c r="F23" s="7">
        <v>1</v>
      </c>
      <c r="G23" s="7">
        <v>1</v>
      </c>
      <c r="H23" s="7" t="s">
        <v>228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235</v>
      </c>
      <c r="C24" s="7" t="s">
        <v>195</v>
      </c>
      <c r="D24" s="7" t="s">
        <v>30</v>
      </c>
      <c r="E24" s="7" t="s">
        <v>226</v>
      </c>
      <c r="F24" s="7">
        <v>1</v>
      </c>
      <c r="G24" s="7">
        <v>1</v>
      </c>
      <c r="H24" s="7" t="s">
        <v>228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  <c r="E30" s="24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90">
    <cfRule type="iconSet" priority="9">
      <iconSet>
        <cfvo type="percent" val="0"/>
        <cfvo type="percent" val="33"/>
        <cfvo type="percent" val="67"/>
      </iconSet>
    </cfRule>
  </conditionalFormatting>
  <conditionalFormatting sqref="A13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76">
    <cfRule type="iconSet" priority="11">
      <iconSet>
        <cfvo type="percent" val="0"/>
        <cfvo type="percent" val="33"/>
        <cfvo type="percent" val="67"/>
      </iconSet>
    </cfRule>
  </conditionalFormatting>
  <conditionalFormatting sqref="A13:A76">
    <cfRule type="iconSet" priority="10">
      <iconSet>
        <cfvo type="percent" val="0"/>
        <cfvo type="percent" val="33"/>
        <cfvo type="percent" val="67"/>
      </iconSet>
    </cfRule>
  </conditionalFormatting>
  <conditionalFormatting sqref="A17:A20">
    <cfRule type="iconSet" priority="2">
      <iconSet>
        <cfvo type="percent" val="0"/>
        <cfvo type="percent" val="33"/>
        <cfvo type="percent" val="67"/>
      </iconSet>
    </cfRule>
  </conditionalFormatting>
  <conditionalFormatting sqref="A17:A20">
    <cfRule type="iconSet" priority="5">
      <iconSet>
        <cfvo type="percent" val="0"/>
        <cfvo type="percent" val="33"/>
        <cfvo type="percent" val="67"/>
      </iconSet>
    </cfRule>
  </conditionalFormatting>
  <conditionalFormatting sqref="A17:A20">
    <cfRule type="iconSet" priority="6">
      <iconSet>
        <cfvo type="percent" val="0"/>
        <cfvo type="percent" val="33"/>
        <cfvo type="percent" val="67"/>
      </iconSet>
    </cfRule>
  </conditionalFormatting>
  <conditionalFormatting sqref="A17:A20">
    <cfRule type="iconSet" priority="7">
      <iconSet>
        <cfvo type="percent" val="0"/>
        <cfvo type="percent" val="33"/>
        <cfvo type="percent" val="67"/>
      </iconSet>
    </cfRule>
  </conditionalFormatting>
  <conditionalFormatting sqref="A17:A20">
    <cfRule type="iconSet" priority="8">
      <iconSet>
        <cfvo type="percent" val="0"/>
        <cfvo type="percent" val="33"/>
        <cfvo type="percent" val="67"/>
      </iconSet>
    </cfRule>
  </conditionalFormatting>
  <conditionalFormatting sqref="A17:A20">
    <cfRule type="iconSet" priority="4">
      <iconSet>
        <cfvo type="percent" val="0"/>
        <cfvo type="percent" val="33"/>
        <cfvo type="percent" val="67"/>
      </iconSet>
    </cfRule>
  </conditionalFormatting>
  <conditionalFormatting sqref="A17:A20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2022-02-24T09:07:23Z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