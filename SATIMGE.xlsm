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odels\SATIMGE\"/>
    </mc:Choice>
  </mc:AlternateContent>
  <xr:revisionPtr revIDLastSave="0" documentId="13_ncr:1_{E7E31D08-8B40-4BA7-847D-2E32762E03FF}" xr6:coauthVersionLast="47" xr6:coauthVersionMax="47" xr10:uidLastSave="{00000000-0000-0000-0000-000000000000}"/>
  <bookViews>
    <workbookView xWindow="2880" yWindow="660" windowWidth="25230" windowHeight="149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Scenarios!$A$7:$BF$160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 calcMode="manual"/>
  <pivotCaches>
    <pivotCache cacheId="754" r:id="rId9"/>
    <pivotCache cacheId="7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Y123" i="33" l="1"/>
  <c r="Q123" i="33"/>
  <c r="O123" i="33"/>
  <c r="N123" i="33"/>
  <c r="M123" i="33"/>
  <c r="L123" i="33"/>
  <c r="K123" i="33"/>
  <c r="AY122" i="33"/>
  <c r="Q122" i="33"/>
  <c r="O122" i="33"/>
  <c r="N122" i="33"/>
  <c r="M122" i="33"/>
  <c r="L122" i="33"/>
  <c r="K122" i="33"/>
  <c r="AY121" i="33"/>
  <c r="Q121" i="33"/>
  <c r="O121" i="33"/>
  <c r="N121" i="33"/>
  <c r="M121" i="33"/>
  <c r="L121" i="33"/>
  <c r="K121" i="33"/>
  <c r="AY120" i="33"/>
  <c r="Q120" i="33"/>
  <c r="O120" i="33"/>
  <c r="N120" i="33"/>
  <c r="M120" i="33"/>
  <c r="L120" i="33"/>
  <c r="K120" i="33"/>
  <c r="AY129" i="33" l="1"/>
  <c r="Q129" i="33"/>
  <c r="O129" i="33"/>
  <c r="N129" i="33"/>
  <c r="M129" i="33"/>
  <c r="L129" i="33"/>
  <c r="K129" i="33"/>
  <c r="AY128" i="33"/>
  <c r="Q128" i="33"/>
  <c r="O128" i="33"/>
  <c r="N128" i="33"/>
  <c r="M128" i="33"/>
  <c r="L128" i="33"/>
  <c r="K128" i="33"/>
  <c r="AY135" i="33"/>
  <c r="Q135" i="33"/>
  <c r="O135" i="33"/>
  <c r="N135" i="33"/>
  <c r="M135" i="33"/>
  <c r="L135" i="33"/>
  <c r="K135" i="33"/>
  <c r="AY134" i="33"/>
  <c r="Q134" i="33"/>
  <c r="O134" i="33"/>
  <c r="N134" i="33"/>
  <c r="M134" i="33"/>
  <c r="L134" i="33"/>
  <c r="K134" i="33"/>
  <c r="AY151" i="33"/>
  <c r="Q151" i="33"/>
  <c r="O151" i="33"/>
  <c r="N151" i="33"/>
  <c r="M151" i="33"/>
  <c r="L151" i="33"/>
  <c r="K151" i="33"/>
  <c r="AY157" i="33" l="1"/>
  <c r="Q157" i="33"/>
  <c r="O157" i="33"/>
  <c r="N157" i="33"/>
  <c r="M157" i="33"/>
  <c r="L157" i="33"/>
  <c r="K157" i="33"/>
  <c r="AY156" i="33"/>
  <c r="Q156" i="33"/>
  <c r="O156" i="33"/>
  <c r="N156" i="33"/>
  <c r="M156" i="33"/>
  <c r="L156" i="33"/>
  <c r="K156" i="33"/>
  <c r="AY155" i="33"/>
  <c r="Q155" i="33"/>
  <c r="O155" i="33"/>
  <c r="N155" i="33"/>
  <c r="M155" i="33"/>
  <c r="L155" i="33"/>
  <c r="K155" i="33"/>
  <c r="AY154" i="33"/>
  <c r="Q154" i="33"/>
  <c r="O154" i="33"/>
  <c r="N154" i="33"/>
  <c r="M154" i="33"/>
  <c r="L154" i="33"/>
  <c r="K154" i="33"/>
  <c r="AY153" i="33"/>
  <c r="Q153" i="33"/>
  <c r="O153" i="33"/>
  <c r="N153" i="33"/>
  <c r="M153" i="33"/>
  <c r="L153" i="33"/>
  <c r="K153" i="33"/>
  <c r="AY152" i="33"/>
  <c r="Q152" i="33"/>
  <c r="O152" i="33"/>
  <c r="N152" i="33"/>
  <c r="M152" i="33"/>
  <c r="L152" i="33"/>
  <c r="K152" i="33"/>
  <c r="AY149" i="33"/>
  <c r="Q149" i="33"/>
  <c r="O149" i="33"/>
  <c r="N149" i="33"/>
  <c r="M149" i="33"/>
  <c r="L149" i="33"/>
  <c r="K149" i="33"/>
  <c r="AY127" i="33"/>
  <c r="Q127" i="33"/>
  <c r="O127" i="33"/>
  <c r="N127" i="33"/>
  <c r="M127" i="33"/>
  <c r="L127" i="33"/>
  <c r="K127" i="33"/>
  <c r="AY126" i="33"/>
  <c r="Q126" i="33"/>
  <c r="O126" i="33"/>
  <c r="N126" i="33"/>
  <c r="M126" i="33"/>
  <c r="L126" i="33"/>
  <c r="K126" i="33"/>
  <c r="AY133" i="33"/>
  <c r="Q133" i="33"/>
  <c r="O133" i="33"/>
  <c r="N133" i="33"/>
  <c r="M133" i="33"/>
  <c r="L133" i="33"/>
  <c r="K133" i="33"/>
  <c r="AY132" i="33"/>
  <c r="Q132" i="33"/>
  <c r="O132" i="33"/>
  <c r="N132" i="33"/>
  <c r="M132" i="33"/>
  <c r="L132" i="33"/>
  <c r="K132" i="33"/>
  <c r="AY131" i="33"/>
  <c r="Q131" i="33"/>
  <c r="O131" i="33"/>
  <c r="N131" i="33"/>
  <c r="M131" i="33"/>
  <c r="L131" i="33"/>
  <c r="K131" i="33"/>
  <c r="AY130" i="33"/>
  <c r="Q130" i="33"/>
  <c r="O130" i="33"/>
  <c r="N130" i="33"/>
  <c r="M130" i="33"/>
  <c r="L130" i="33"/>
  <c r="K130" i="33"/>
  <c r="AY125" i="33"/>
  <c r="Q125" i="33"/>
  <c r="O125" i="33"/>
  <c r="N125" i="33"/>
  <c r="M125" i="33"/>
  <c r="L125" i="33"/>
  <c r="K125" i="33"/>
  <c r="AY124" i="33"/>
  <c r="Q124" i="33"/>
  <c r="O124" i="33"/>
  <c r="N124" i="33"/>
  <c r="M124" i="33"/>
  <c r="L124" i="33"/>
  <c r="K124" i="33"/>
  <c r="AY118" i="33"/>
  <c r="Q118" i="33"/>
  <c r="O118" i="33"/>
  <c r="N118" i="33"/>
  <c r="M118" i="33"/>
  <c r="L118" i="33"/>
  <c r="K118" i="33"/>
  <c r="AY36" i="33" l="1"/>
  <c r="Q36" i="33"/>
  <c r="O36" i="33"/>
  <c r="N36" i="33"/>
  <c r="M36" i="33"/>
  <c r="L36" i="33"/>
  <c r="K36" i="33"/>
  <c r="AY18" i="33"/>
  <c r="Q18" i="33"/>
  <c r="O18" i="33"/>
  <c r="N18" i="33"/>
  <c r="M18" i="33"/>
  <c r="L18" i="33"/>
  <c r="K18" i="33"/>
  <c r="AY10" i="33"/>
  <c r="Q10" i="33"/>
  <c r="O10" i="33"/>
  <c r="N10" i="33"/>
  <c r="M10" i="33"/>
  <c r="L10" i="33"/>
  <c r="K10" i="33"/>
  <c r="AY21" i="33"/>
  <c r="Q21" i="33"/>
  <c r="O21" i="33"/>
  <c r="N21" i="33"/>
  <c r="M21" i="33"/>
  <c r="L21" i="33"/>
  <c r="K21" i="33"/>
  <c r="AY20" i="33" l="1"/>
  <c r="Q20" i="33"/>
  <c r="O20" i="33"/>
  <c r="N20" i="33"/>
  <c r="M20" i="33"/>
  <c r="L20" i="33"/>
  <c r="K20" i="33"/>
  <c r="AY105" i="33"/>
  <c r="Q105" i="33"/>
  <c r="O105" i="33"/>
  <c r="N105" i="33"/>
  <c r="M105" i="33"/>
  <c r="L105" i="33"/>
  <c r="K105" i="33"/>
  <c r="AY101" i="33"/>
  <c r="Q101" i="33"/>
  <c r="O101" i="33"/>
  <c r="N101" i="33"/>
  <c r="M101" i="33"/>
  <c r="L101" i="33"/>
  <c r="K101" i="33"/>
  <c r="AY97" i="33"/>
  <c r="Q97" i="33"/>
  <c r="O97" i="33"/>
  <c r="N97" i="33"/>
  <c r="M97" i="33"/>
  <c r="L97" i="33"/>
  <c r="K97" i="33"/>
  <c r="AY72" i="33"/>
  <c r="Q72" i="33"/>
  <c r="O72" i="33"/>
  <c r="N72" i="33"/>
  <c r="M72" i="33"/>
  <c r="L72" i="33"/>
  <c r="K72" i="33"/>
  <c r="AY59" i="33"/>
  <c r="Q59" i="33"/>
  <c r="O59" i="33"/>
  <c r="N59" i="33"/>
  <c r="M59" i="33"/>
  <c r="L59" i="33"/>
  <c r="K59" i="33"/>
  <c r="AY55" i="33"/>
  <c r="Q55" i="33"/>
  <c r="O55" i="33"/>
  <c r="N55" i="33"/>
  <c r="M55" i="33"/>
  <c r="L55" i="33"/>
  <c r="K55" i="33"/>
  <c r="AY52" i="33"/>
  <c r="Q52" i="33"/>
  <c r="O52" i="33"/>
  <c r="N52" i="33"/>
  <c r="M52" i="33"/>
  <c r="L52" i="33"/>
  <c r="K52" i="33"/>
  <c r="AY49" i="33"/>
  <c r="Q49" i="33"/>
  <c r="O49" i="33"/>
  <c r="N49" i="33"/>
  <c r="M49" i="33"/>
  <c r="L49" i="33"/>
  <c r="K49" i="33"/>
  <c r="AY42" i="33"/>
  <c r="Q42" i="33"/>
  <c r="O42" i="33"/>
  <c r="N42" i="33"/>
  <c r="M42" i="33"/>
  <c r="L42" i="33"/>
  <c r="K42" i="33"/>
  <c r="AY35" i="33"/>
  <c r="Q35" i="33"/>
  <c r="O35" i="33"/>
  <c r="N35" i="33"/>
  <c r="M35" i="33"/>
  <c r="L35" i="33"/>
  <c r="K35" i="33"/>
  <c r="AY17" i="33" l="1"/>
  <c r="Q17" i="33"/>
  <c r="O17" i="33"/>
  <c r="N17" i="33"/>
  <c r="M17" i="33"/>
  <c r="L17" i="33"/>
  <c r="K17" i="33" l="1"/>
  <c r="AY41" i="33" l="1"/>
  <c r="Q41" i="33"/>
  <c r="O41" i="33"/>
  <c r="N41" i="33"/>
  <c r="M41" i="33"/>
  <c r="L41" i="33"/>
  <c r="K41" i="33"/>
  <c r="AY34" i="33"/>
  <c r="Q34" i="33"/>
  <c r="O34" i="33"/>
  <c r="N34" i="33"/>
  <c r="M34" i="33"/>
  <c r="L34" i="33"/>
  <c r="K34" i="33"/>
  <c r="AY9" i="33"/>
  <c r="Q9" i="33"/>
  <c r="H9" i="33"/>
  <c r="L9" i="33" s="1"/>
  <c r="AY71" i="33"/>
  <c r="Q71" i="33"/>
  <c r="O71" i="33"/>
  <c r="N71" i="33"/>
  <c r="M71" i="33"/>
  <c r="L71" i="33"/>
  <c r="K71" i="33"/>
  <c r="AY43" i="33"/>
  <c r="Q43" i="33"/>
  <c r="O43" i="33"/>
  <c r="N43" i="33"/>
  <c r="M43" i="33"/>
  <c r="L43" i="33"/>
  <c r="K43" i="33"/>
  <c r="AY46" i="33"/>
  <c r="Q46" i="33"/>
  <c r="O46" i="33"/>
  <c r="N46" i="33"/>
  <c r="M46" i="33"/>
  <c r="L46" i="33"/>
  <c r="K46" i="33"/>
  <c r="AY48" i="33"/>
  <c r="Q48" i="33"/>
  <c r="O48" i="33"/>
  <c r="N48" i="33"/>
  <c r="M48" i="33"/>
  <c r="L48" i="33"/>
  <c r="K48" i="33"/>
  <c r="AY47" i="33"/>
  <c r="Q47" i="33"/>
  <c r="O47" i="33"/>
  <c r="N47" i="33"/>
  <c r="M47" i="33"/>
  <c r="L47" i="33"/>
  <c r="K47" i="33"/>
  <c r="AY51" i="33"/>
  <c r="Q51" i="33"/>
  <c r="O51" i="33"/>
  <c r="N51" i="33"/>
  <c r="M51" i="33"/>
  <c r="L51" i="33"/>
  <c r="K51" i="33"/>
  <c r="AY50" i="33"/>
  <c r="Q50" i="33"/>
  <c r="O50" i="33"/>
  <c r="N50" i="33"/>
  <c r="M50" i="33"/>
  <c r="L50" i="33"/>
  <c r="K50" i="33"/>
  <c r="AY58" i="33"/>
  <c r="Q58" i="33"/>
  <c r="O58" i="33"/>
  <c r="N58" i="33"/>
  <c r="M58" i="33"/>
  <c r="L58" i="33"/>
  <c r="K58" i="33"/>
  <c r="AY57" i="33"/>
  <c r="Q57" i="33"/>
  <c r="O57" i="33"/>
  <c r="N57" i="33"/>
  <c r="M57" i="33"/>
  <c r="L57" i="33"/>
  <c r="K57" i="33"/>
  <c r="AY61" i="33"/>
  <c r="Q61" i="33"/>
  <c r="O61" i="33"/>
  <c r="N61" i="33"/>
  <c r="M61" i="33"/>
  <c r="L61" i="33"/>
  <c r="K61" i="33"/>
  <c r="AY60" i="33"/>
  <c r="Q60" i="33"/>
  <c r="O60" i="33"/>
  <c r="N60" i="33"/>
  <c r="M60" i="33"/>
  <c r="L60" i="33"/>
  <c r="K60" i="33"/>
  <c r="AY96" i="33"/>
  <c r="Q96" i="33"/>
  <c r="O96" i="33"/>
  <c r="N96" i="33"/>
  <c r="M96" i="33"/>
  <c r="L96" i="33"/>
  <c r="K96" i="33"/>
  <c r="AY100" i="33"/>
  <c r="Q100" i="33"/>
  <c r="O100" i="33"/>
  <c r="N100" i="33"/>
  <c r="M100" i="33"/>
  <c r="L100" i="33"/>
  <c r="K100" i="33"/>
  <c r="AY108" i="33"/>
  <c r="Q108" i="33"/>
  <c r="O108" i="33"/>
  <c r="N108" i="33"/>
  <c r="M108" i="33"/>
  <c r="L108" i="33"/>
  <c r="K108" i="33"/>
  <c r="AY104" i="33"/>
  <c r="Q104" i="33"/>
  <c r="O104" i="33"/>
  <c r="N104" i="33"/>
  <c r="M104" i="33"/>
  <c r="L104" i="33"/>
  <c r="K104" i="33"/>
  <c r="AY19" i="33"/>
  <c r="Q19" i="33"/>
  <c r="N19" i="33"/>
  <c r="O9" i="33" l="1"/>
  <c r="M9" i="33"/>
  <c r="N9" i="33"/>
  <c r="K9" i="33"/>
  <c r="K19" i="33"/>
  <c r="L19" i="33"/>
  <c r="M19" i="33"/>
  <c r="O19" i="33"/>
  <c r="AY11" i="33"/>
  <c r="Q11" i="33"/>
  <c r="H11" i="33"/>
  <c r="L11" i="33" s="1"/>
  <c r="AY37" i="33"/>
  <c r="Q37" i="33"/>
  <c r="O37" i="33"/>
  <c r="N37" i="33"/>
  <c r="M37" i="33"/>
  <c r="L37" i="33"/>
  <c r="K37" i="33"/>
  <c r="AY38" i="33"/>
  <c r="Q38" i="33"/>
  <c r="O38" i="33"/>
  <c r="N38" i="33"/>
  <c r="M38" i="33"/>
  <c r="L38" i="33"/>
  <c r="K38" i="33"/>
  <c r="AY39" i="33"/>
  <c r="Q39" i="33"/>
  <c r="O39" i="33"/>
  <c r="N39" i="33"/>
  <c r="M39" i="33"/>
  <c r="L39" i="33"/>
  <c r="K39" i="33"/>
  <c r="AY69" i="33"/>
  <c r="Q69" i="33"/>
  <c r="O69" i="33"/>
  <c r="N69" i="33"/>
  <c r="M69" i="33"/>
  <c r="L69" i="33"/>
  <c r="K69" i="33"/>
  <c r="AY12" i="33"/>
  <c r="AY13" i="33"/>
  <c r="AY14" i="33"/>
  <c r="AY15" i="33"/>
  <c r="AY16" i="33"/>
  <c r="AY22" i="33"/>
  <c r="AY23" i="33"/>
  <c r="AY24" i="33"/>
  <c r="AY25" i="33"/>
  <c r="AY26" i="33"/>
  <c r="AY27" i="33"/>
  <c r="AY28" i="33"/>
  <c r="AY29" i="33"/>
  <c r="AY30" i="33"/>
  <c r="AY31" i="33"/>
  <c r="AY32" i="33"/>
  <c r="AY33" i="33"/>
  <c r="AY40" i="33"/>
  <c r="AY44" i="33"/>
  <c r="AY45" i="33"/>
  <c r="AY53" i="33"/>
  <c r="AY54" i="33"/>
  <c r="AY56" i="33"/>
  <c r="AY62" i="33"/>
  <c r="AY63" i="33"/>
  <c r="AY64" i="33"/>
  <c r="AY65" i="33"/>
  <c r="AY66" i="33"/>
  <c r="AY67" i="33"/>
  <c r="AY68" i="33"/>
  <c r="AY70" i="33"/>
  <c r="AY73" i="33"/>
  <c r="AY74" i="33"/>
  <c r="AY75" i="33"/>
  <c r="AY76" i="33"/>
  <c r="AY77" i="33"/>
  <c r="AY78" i="33"/>
  <c r="AY79" i="33"/>
  <c r="AY80" i="33"/>
  <c r="AY81" i="33"/>
  <c r="AY82" i="33"/>
  <c r="AY83" i="33"/>
  <c r="AY84" i="33"/>
  <c r="AY85" i="33"/>
  <c r="AY86" i="33"/>
  <c r="AY87" i="33"/>
  <c r="AY88" i="33"/>
  <c r="AY89" i="33"/>
  <c r="AY90" i="33"/>
  <c r="AY91" i="33"/>
  <c r="AY92" i="33"/>
  <c r="AY93" i="33"/>
  <c r="AY94" i="33"/>
  <c r="AY95" i="33"/>
  <c r="AY98" i="33"/>
  <c r="AY99" i="33"/>
  <c r="AY102" i="33"/>
  <c r="AY103" i="33"/>
  <c r="AY106" i="33"/>
  <c r="AY107" i="33"/>
  <c r="AY109" i="33"/>
  <c r="AY110" i="33"/>
  <c r="AY111" i="33"/>
  <c r="AY112" i="33"/>
  <c r="AY113" i="33"/>
  <c r="AY114" i="33"/>
  <c r="AY115" i="33"/>
  <c r="AY119" i="33"/>
  <c r="AY136" i="33"/>
  <c r="AY137" i="33"/>
  <c r="AY143" i="33"/>
  <c r="AY144" i="33"/>
  <c r="AY145" i="33"/>
  <c r="AY146" i="33"/>
  <c r="AY147" i="33"/>
  <c r="AY148" i="33"/>
  <c r="AY150" i="33"/>
  <c r="AY158" i="33"/>
  <c r="AY159" i="33"/>
  <c r="AY160" i="33"/>
  <c r="AY8" i="33"/>
  <c r="Q98" i="33"/>
  <c r="O98" i="33"/>
  <c r="N98" i="33"/>
  <c r="M98" i="33"/>
  <c r="L98" i="33"/>
  <c r="K98" i="33"/>
  <c r="N11" i="33" l="1"/>
  <c r="O11" i="33"/>
  <c r="K11" i="33"/>
  <c r="Q53" i="33" l="1"/>
  <c r="O53" i="33"/>
  <c r="N53" i="33"/>
  <c r="M53" i="33"/>
  <c r="L53" i="33"/>
  <c r="K53" i="33"/>
  <c r="Q56" i="33"/>
  <c r="O56" i="33"/>
  <c r="N56" i="33"/>
  <c r="M56" i="33"/>
  <c r="L56" i="33"/>
  <c r="K56" i="33"/>
  <c r="Q54" i="33"/>
  <c r="O54" i="33"/>
  <c r="N54" i="33"/>
  <c r="M54" i="33"/>
  <c r="L54" i="33"/>
  <c r="K54" i="33"/>
  <c r="A6" i="33"/>
  <c r="Q44" i="33" l="1"/>
  <c r="O44" i="33"/>
  <c r="N44" i="33"/>
  <c r="M44" i="33"/>
  <c r="L44" i="33"/>
  <c r="K44" i="33"/>
  <c r="Q40" i="33"/>
  <c r="O40" i="33"/>
  <c r="N40" i="33"/>
  <c r="M40" i="33"/>
  <c r="L40" i="33"/>
  <c r="K40" i="33"/>
  <c r="Q68" i="33"/>
  <c r="O68" i="33"/>
  <c r="N68" i="33"/>
  <c r="M68" i="33"/>
  <c r="L68" i="33"/>
  <c r="K68" i="33"/>
  <c r="Q77" i="33"/>
  <c r="O77" i="33"/>
  <c r="N77" i="33"/>
  <c r="M77" i="33"/>
  <c r="L77" i="33"/>
  <c r="K77" i="33"/>
  <c r="Q76" i="33"/>
  <c r="O76" i="33"/>
  <c r="N76" i="33"/>
  <c r="M76" i="33"/>
  <c r="L76" i="33"/>
  <c r="K76" i="33"/>
  <c r="Q75" i="33"/>
  <c r="O75" i="33"/>
  <c r="N75" i="33"/>
  <c r="M75" i="33"/>
  <c r="L75" i="33"/>
  <c r="K75" i="33"/>
  <c r="Q74" i="33"/>
  <c r="O74" i="33"/>
  <c r="N74" i="33"/>
  <c r="M74" i="33"/>
  <c r="L74" i="33"/>
  <c r="K74" i="33"/>
  <c r="Q73" i="33"/>
  <c r="O73" i="33"/>
  <c r="N73" i="33"/>
  <c r="M73" i="33"/>
  <c r="L73" i="33"/>
  <c r="K73" i="33"/>
  <c r="Q70" i="33"/>
  <c r="O70" i="33"/>
  <c r="N70" i="33"/>
  <c r="M70" i="33"/>
  <c r="L70" i="33"/>
  <c r="K70" i="33"/>
  <c r="Q67" i="33"/>
  <c r="O67" i="33"/>
  <c r="N67" i="33"/>
  <c r="M67" i="33"/>
  <c r="L67" i="33"/>
  <c r="K67" i="33"/>
  <c r="Q66" i="33"/>
  <c r="O66" i="33"/>
  <c r="N66" i="33"/>
  <c r="M66" i="33"/>
  <c r="L66" i="33"/>
  <c r="K66" i="33"/>
  <c r="Q65" i="33"/>
  <c r="O65" i="33"/>
  <c r="N65" i="33"/>
  <c r="M65" i="33"/>
  <c r="L65" i="33"/>
  <c r="K65" i="33"/>
  <c r="Q64" i="33"/>
  <c r="O64" i="33"/>
  <c r="N64" i="33"/>
  <c r="M64" i="33"/>
  <c r="L64" i="33"/>
  <c r="K64" i="33"/>
  <c r="Q109" i="33"/>
  <c r="O109" i="33"/>
  <c r="N109" i="33"/>
  <c r="M109" i="33"/>
  <c r="L109" i="33"/>
  <c r="K109" i="33"/>
  <c r="Q107" i="33"/>
  <c r="O107" i="33"/>
  <c r="N107" i="33"/>
  <c r="M107" i="33"/>
  <c r="L107" i="33"/>
  <c r="K107" i="33"/>
  <c r="Q106" i="33"/>
  <c r="O106" i="33"/>
  <c r="N106" i="33"/>
  <c r="M106" i="33"/>
  <c r="L106" i="33"/>
  <c r="K106" i="33"/>
  <c r="Q103" i="33"/>
  <c r="O103" i="33"/>
  <c r="N103" i="33"/>
  <c r="M103" i="33"/>
  <c r="L103" i="33"/>
  <c r="K103" i="33"/>
  <c r="Q102" i="33"/>
  <c r="O102" i="33"/>
  <c r="N102" i="33"/>
  <c r="M102" i="33"/>
  <c r="L102" i="33"/>
  <c r="K102" i="33"/>
  <c r="Q99" i="33" l="1"/>
  <c r="O99" i="33"/>
  <c r="N99" i="33"/>
  <c r="M99" i="33"/>
  <c r="L99" i="33"/>
  <c r="K99" i="33"/>
  <c r="Q95" i="33"/>
  <c r="O95" i="33"/>
  <c r="N95" i="33"/>
  <c r="M95" i="33"/>
  <c r="L95" i="33"/>
  <c r="K95" i="33"/>
  <c r="Q94" i="33"/>
  <c r="O94" i="33"/>
  <c r="N94" i="33"/>
  <c r="M94" i="33"/>
  <c r="L94" i="33"/>
  <c r="K94" i="33"/>
  <c r="Q93" i="33"/>
  <c r="O93" i="33"/>
  <c r="N93" i="33"/>
  <c r="M93" i="33"/>
  <c r="L93" i="33"/>
  <c r="K93" i="33"/>
  <c r="Q92" i="33"/>
  <c r="O92" i="33"/>
  <c r="N92" i="33"/>
  <c r="M92" i="33"/>
  <c r="L92" i="33"/>
  <c r="K92" i="33"/>
  <c r="N116" i="33"/>
  <c r="M116" i="33"/>
  <c r="L116" i="33"/>
  <c r="K116" i="33"/>
  <c r="B116" i="33"/>
  <c r="AY116" i="33" s="1"/>
  <c r="B117" i="33"/>
  <c r="AY117" i="33" s="1"/>
  <c r="N117" i="33"/>
  <c r="M117" i="33"/>
  <c r="L117" i="33"/>
  <c r="K117" i="33"/>
  <c r="Q117" i="33" l="1"/>
  <c r="Q116" i="33"/>
  <c r="Q119" i="33"/>
  <c r="O119" i="33"/>
  <c r="N119" i="33"/>
  <c r="M119" i="33"/>
  <c r="L119" i="33"/>
  <c r="K119" i="33"/>
  <c r="B140" i="33" l="1"/>
  <c r="AY140" i="33" s="1"/>
  <c r="O140" i="33"/>
  <c r="N140" i="33"/>
  <c r="M140" i="33"/>
  <c r="L140" i="33"/>
  <c r="K140" i="33"/>
  <c r="B139" i="33"/>
  <c r="AY139" i="33" s="1"/>
  <c r="O139" i="33"/>
  <c r="N139" i="33"/>
  <c r="M139" i="33"/>
  <c r="L139" i="33"/>
  <c r="K139" i="33"/>
  <c r="B138" i="33"/>
  <c r="AY138" i="33" s="1"/>
  <c r="O138" i="33"/>
  <c r="N138" i="33"/>
  <c r="M138" i="33"/>
  <c r="L138" i="33"/>
  <c r="K138" i="33"/>
  <c r="Q146" i="33"/>
  <c r="O146" i="33"/>
  <c r="N146" i="33"/>
  <c r="M146" i="33"/>
  <c r="L146" i="33"/>
  <c r="K146" i="33"/>
  <c r="Q145" i="33"/>
  <c r="O145" i="33"/>
  <c r="N145" i="33"/>
  <c r="M145" i="33"/>
  <c r="L145" i="33"/>
  <c r="K145" i="33"/>
  <c r="Q144" i="33"/>
  <c r="O144" i="33"/>
  <c r="N144" i="33"/>
  <c r="M144" i="33"/>
  <c r="L144" i="33"/>
  <c r="K144" i="33"/>
  <c r="Q143" i="33"/>
  <c r="O143" i="33"/>
  <c r="N143" i="33"/>
  <c r="M143" i="33"/>
  <c r="L143" i="33"/>
  <c r="K143" i="33"/>
  <c r="B142" i="33"/>
  <c r="AY142" i="33" s="1"/>
  <c r="B141" i="33"/>
  <c r="AY141" i="33" s="1"/>
  <c r="Q148" i="33"/>
  <c r="O148" i="33"/>
  <c r="N148" i="33"/>
  <c r="M148" i="33"/>
  <c r="L148" i="33"/>
  <c r="K148" i="33"/>
  <c r="Q147" i="33"/>
  <c r="O147" i="33"/>
  <c r="N147" i="33"/>
  <c r="M147" i="33"/>
  <c r="L147" i="33"/>
  <c r="K147" i="33"/>
  <c r="O142" i="33"/>
  <c r="N142" i="33"/>
  <c r="M142" i="33"/>
  <c r="L142" i="33"/>
  <c r="K142" i="33"/>
  <c r="O141" i="33"/>
  <c r="N141" i="33"/>
  <c r="M141" i="33"/>
  <c r="L141" i="33"/>
  <c r="K141" i="33"/>
  <c r="Q137" i="33"/>
  <c r="O137" i="33"/>
  <c r="N137" i="33"/>
  <c r="M137" i="33"/>
  <c r="L137" i="33"/>
  <c r="K137" i="33"/>
  <c r="Q114" i="33"/>
  <c r="O114" i="33"/>
  <c r="N114" i="33"/>
  <c r="M114" i="33"/>
  <c r="L114" i="33"/>
  <c r="K114" i="33"/>
  <c r="Q113" i="33"/>
  <c r="O113" i="33"/>
  <c r="N113" i="33"/>
  <c r="M113" i="33"/>
  <c r="L113" i="33"/>
  <c r="K113" i="33"/>
  <c r="Q112" i="33"/>
  <c r="O112" i="33"/>
  <c r="N112" i="33"/>
  <c r="M112" i="33"/>
  <c r="L112" i="33"/>
  <c r="K112" i="33"/>
  <c r="Q111" i="33"/>
  <c r="N111" i="33"/>
  <c r="M111" i="33"/>
  <c r="L111" i="33"/>
  <c r="K111" i="33"/>
  <c r="Q136" i="33"/>
  <c r="O136" i="33"/>
  <c r="N136" i="33"/>
  <c r="M136" i="33"/>
  <c r="L136" i="33"/>
  <c r="K136" i="33"/>
  <c r="Q115" i="33"/>
  <c r="N115" i="33"/>
  <c r="M115" i="33"/>
  <c r="L115" i="33"/>
  <c r="K115" i="33"/>
  <c r="Q159" i="33"/>
  <c r="O159" i="33"/>
  <c r="N159" i="33"/>
  <c r="M159" i="33"/>
  <c r="L159" i="33"/>
  <c r="K159" i="33"/>
  <c r="K158" i="33"/>
  <c r="L158" i="33"/>
  <c r="M158" i="33"/>
  <c r="N158" i="33"/>
  <c r="O158" i="33"/>
  <c r="Q158" i="33"/>
  <c r="Q150" i="33"/>
  <c r="O150" i="33"/>
  <c r="N150" i="33"/>
  <c r="M150" i="33"/>
  <c r="L150" i="33"/>
  <c r="K150" i="33"/>
  <c r="K110" i="33"/>
  <c r="L110" i="33"/>
  <c r="M110" i="33"/>
  <c r="N110" i="33"/>
  <c r="O110" i="33"/>
  <c r="Q110" i="33"/>
  <c r="Q91" i="33"/>
  <c r="O91" i="33"/>
  <c r="N91" i="33"/>
  <c r="M91" i="33"/>
  <c r="L91" i="33"/>
  <c r="K91" i="33"/>
  <c r="Q90" i="33"/>
  <c r="O90" i="33"/>
  <c r="N90" i="33"/>
  <c r="M90" i="33"/>
  <c r="L90" i="33"/>
  <c r="K90" i="33"/>
  <c r="Q89" i="33"/>
  <c r="O89" i="33"/>
  <c r="N89" i="33"/>
  <c r="M89" i="33"/>
  <c r="L89" i="33"/>
  <c r="K89" i="33"/>
  <c r="Q88" i="33"/>
  <c r="O88" i="33"/>
  <c r="N88" i="33"/>
  <c r="M88" i="33"/>
  <c r="L88" i="33"/>
  <c r="K88" i="33"/>
  <c r="Q87" i="33"/>
  <c r="O87" i="33"/>
  <c r="N87" i="33"/>
  <c r="M87" i="33"/>
  <c r="L87" i="33"/>
  <c r="K87" i="33"/>
  <c r="Q80" i="33"/>
  <c r="O80" i="33"/>
  <c r="N80" i="33"/>
  <c r="M80" i="33"/>
  <c r="L80" i="33"/>
  <c r="K80" i="33"/>
  <c r="Q86" i="33"/>
  <c r="O86" i="33"/>
  <c r="N86" i="33"/>
  <c r="M86" i="33"/>
  <c r="L86" i="33"/>
  <c r="K86" i="33"/>
  <c r="Q85" i="33"/>
  <c r="O85" i="33"/>
  <c r="N85" i="33"/>
  <c r="M85" i="33"/>
  <c r="L85" i="33"/>
  <c r="K85" i="33"/>
  <c r="Q84" i="33"/>
  <c r="O84" i="33"/>
  <c r="N84" i="33"/>
  <c r="M84" i="33"/>
  <c r="L84" i="33"/>
  <c r="K84" i="33"/>
  <c r="Q83" i="33"/>
  <c r="O83" i="33"/>
  <c r="N83" i="33"/>
  <c r="M83" i="33"/>
  <c r="L83" i="33"/>
  <c r="K83" i="33"/>
  <c r="K82" i="33"/>
  <c r="L82" i="33"/>
  <c r="M82" i="33"/>
  <c r="N82" i="33"/>
  <c r="O82" i="33"/>
  <c r="Q82" i="33"/>
  <c r="K81" i="33"/>
  <c r="L81" i="33"/>
  <c r="M81" i="33"/>
  <c r="N81" i="33"/>
  <c r="O81" i="33"/>
  <c r="Q81" i="33"/>
  <c r="K79" i="33"/>
  <c r="L79" i="33"/>
  <c r="M79" i="33"/>
  <c r="N79" i="33"/>
  <c r="O79" i="33"/>
  <c r="Q79" i="33"/>
  <c r="Q78" i="33"/>
  <c r="O78" i="33"/>
  <c r="N78" i="33"/>
  <c r="M78" i="33"/>
  <c r="L78" i="33"/>
  <c r="K78" i="33"/>
  <c r="C21" i="4"/>
  <c r="Q63" i="33"/>
  <c r="O63" i="33"/>
  <c r="N63" i="33"/>
  <c r="M63" i="33"/>
  <c r="L63" i="33"/>
  <c r="K63" i="33"/>
  <c r="Q27" i="33"/>
  <c r="O27" i="33"/>
  <c r="N27" i="33"/>
  <c r="M27" i="33"/>
  <c r="L27" i="33"/>
  <c r="K27" i="33"/>
  <c r="K62" i="33"/>
  <c r="L62" i="33"/>
  <c r="M62" i="33"/>
  <c r="N62" i="33"/>
  <c r="O62" i="33"/>
  <c r="Q62" i="33"/>
  <c r="K26" i="33"/>
  <c r="L26" i="33"/>
  <c r="M26" i="33"/>
  <c r="N26" i="33"/>
  <c r="O26" i="33"/>
  <c r="Q26" i="33"/>
  <c r="K45" i="33"/>
  <c r="L45" i="33"/>
  <c r="M45" i="33"/>
  <c r="N45" i="33"/>
  <c r="O45" i="33"/>
  <c r="Q45" i="33"/>
  <c r="K33" i="33"/>
  <c r="L33" i="33"/>
  <c r="M33" i="33"/>
  <c r="N33" i="33"/>
  <c r="O33" i="33"/>
  <c r="Q33" i="33"/>
  <c r="K25" i="33"/>
  <c r="L25" i="33"/>
  <c r="M25" i="33"/>
  <c r="N25" i="33"/>
  <c r="O25" i="33"/>
  <c r="Q25" i="33"/>
  <c r="K24" i="33"/>
  <c r="L24" i="33"/>
  <c r="M24" i="33"/>
  <c r="N24" i="33"/>
  <c r="O24" i="33"/>
  <c r="Q24" i="33"/>
  <c r="K23" i="33"/>
  <c r="L23" i="33"/>
  <c r="M23" i="33"/>
  <c r="N23" i="33"/>
  <c r="O23" i="33"/>
  <c r="Q23" i="33"/>
  <c r="Q30" i="33"/>
  <c r="O30" i="33"/>
  <c r="N30" i="33"/>
  <c r="M30" i="33"/>
  <c r="L30" i="33"/>
  <c r="K30" i="33"/>
  <c r="Q31" i="33"/>
  <c r="O31" i="33"/>
  <c r="N31" i="33"/>
  <c r="M31" i="33"/>
  <c r="L31" i="33"/>
  <c r="K31" i="33"/>
  <c r="Q12" i="33"/>
  <c r="O12" i="33"/>
  <c r="N12" i="33"/>
  <c r="M12" i="33"/>
  <c r="L12" i="33"/>
  <c r="K12" i="33"/>
  <c r="L14" i="33"/>
  <c r="C15" i="4"/>
  <c r="C14" i="4"/>
  <c r="Q14" i="33"/>
  <c r="O14" i="33"/>
  <c r="N14" i="33"/>
  <c r="M14" i="33"/>
  <c r="K14" i="33"/>
  <c r="Q13" i="33"/>
  <c r="O13" i="33"/>
  <c r="N13" i="33"/>
  <c r="M13" i="33"/>
  <c r="L13" i="33"/>
  <c r="K13" i="33"/>
  <c r="B1" i="33" a="1"/>
  <c r="B1" i="33" s="1"/>
  <c r="K22" i="33"/>
  <c r="L22" i="33"/>
  <c r="M22" i="33"/>
  <c r="N22" i="33"/>
  <c r="O22" i="33"/>
  <c r="K29" i="33"/>
  <c r="L29" i="33"/>
  <c r="M29" i="33"/>
  <c r="N29" i="33"/>
  <c r="O29" i="33"/>
  <c r="K32" i="33"/>
  <c r="L32" i="33"/>
  <c r="M32" i="33"/>
  <c r="N32" i="33"/>
  <c r="O32" i="33"/>
  <c r="Q16" i="33"/>
  <c r="Q28" i="33"/>
  <c r="Q15" i="33"/>
  <c r="Q22" i="33"/>
  <c r="Q29" i="33"/>
  <c r="Q32" i="33"/>
  <c r="H16" i="33"/>
  <c r="O16" i="33" s="1"/>
  <c r="H8" i="33"/>
  <c r="M8" i="33" s="1"/>
  <c r="C20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8" i="4"/>
  <c r="C17" i="4"/>
  <c r="C16" i="4"/>
  <c r="C12" i="4"/>
  <c r="C8" i="4"/>
  <c r="C11" i="4"/>
  <c r="C7" i="4"/>
  <c r="Q8" i="33"/>
  <c r="S7" i="33"/>
  <c r="T7" i="33" s="1"/>
  <c r="U7" i="33" s="1"/>
  <c r="V7" i="33" s="1"/>
  <c r="W7" i="33" s="1"/>
  <c r="X7" i="33" s="1"/>
  <c r="Y7" i="33" s="1"/>
  <c r="Z7" i="33" s="1"/>
  <c r="AA7" i="33" s="1"/>
  <c r="AB7" i="33" s="1"/>
  <c r="AC7" i="33" s="1"/>
  <c r="AD7" i="33" s="1"/>
  <c r="AE7" i="33" s="1"/>
  <c r="AF7" i="33" s="1"/>
  <c r="AG7" i="33" s="1"/>
  <c r="AH7" i="33" s="1"/>
  <c r="AI7" i="33" s="1"/>
  <c r="AJ7" i="33" s="1"/>
  <c r="AK7" i="33" s="1"/>
  <c r="AL7" i="33" s="1"/>
  <c r="AM7" i="33" s="1"/>
  <c r="AN7" i="33" s="1"/>
  <c r="AO7" i="33" s="1"/>
  <c r="AP7" i="33" s="1"/>
  <c r="AQ7" i="33" s="1"/>
  <c r="AR7" i="33" s="1"/>
  <c r="AS7" i="33" s="1"/>
  <c r="AT7" i="33" s="1"/>
  <c r="AU7" i="33" s="1"/>
  <c r="AV7" i="33" s="1"/>
  <c r="AW7" i="33" s="1"/>
  <c r="AX7" i="33" s="1"/>
  <c r="Q141" i="33" l="1"/>
  <c r="Q142" i="33"/>
  <c r="Q139" i="33"/>
  <c r="Q138" i="33"/>
  <c r="AY6" i="33"/>
  <c r="B6" i="33" s="1"/>
  <c r="Q140" i="33"/>
  <c r="K8" i="33"/>
  <c r="N8" i="33"/>
  <c r="O8" i="33"/>
  <c r="L8" i="33"/>
  <c r="L16" i="33"/>
  <c r="N16" i="33"/>
  <c r="M16" i="33"/>
  <c r="K16" i="33"/>
  <c r="H28" i="33"/>
  <c r="K28" i="33" l="1"/>
  <c r="H15" i="33"/>
  <c r="L28" i="33"/>
  <c r="M28" i="33"/>
  <c r="N28" i="33"/>
  <c r="O28" i="33"/>
  <c r="N15" i="33" l="1"/>
  <c r="L15" i="33"/>
  <c r="O15" i="33"/>
  <c r="M15" i="33"/>
  <c r="K15" i="3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tc={B0B4E6CE-63BB-47DC-A15C-D7359C6FCD5C}</author>
    <author>tc={94BD3E44-B84E-4997-9B83-666F603EB55C}</author>
    <author>tc={3A629425-736C-49FF-8B83-3FBBBC12C4CE}</author>
    <author>tc={B6604738-1FCC-41EE-B03D-9C4A5AEF52CE}</author>
    <author>tc={51133E0D-65ED-41FA-8B2C-EC738522D05E}</author>
    <author>tc={83E81BB2-9091-4C72-9660-EB8BD87DE212}</author>
    <author>tc={17EA8562-2D5C-4A0F-8488-4E7A1AB50810}</author>
    <author>tc={647482BC-52A5-4C91-9959-7BBA5E6CD87C}</author>
    <author>tc={4BC6F9B3-0328-458A-AD9F-2C59693CE175}</author>
    <author>tc={85EDC146-BFD8-4C00-90BF-6180141583A5}</author>
    <author>tc={8BBE1FFC-2FD4-4F7B-8748-DD3A09817AC0}</author>
    <author>tc={B52CCB72-6685-4492-8C79-DF3E9FFF6F64}</author>
    <author>tc={7D96D53B-9120-461B-AD55-4A1A9B2FA010}</author>
    <author>tc={F7A6309E-47C5-4215-AF1D-E1CADE616AE1}</author>
    <author>tc={25B8C135-0142-4D67-857B-4D1E352686CD}</author>
    <author>tc={804AD62C-96F4-4D38-8DE0-DD3B71972325}</author>
    <author>tc={C554E512-E203-4DD4-9C00-323DB78A9184}</author>
    <author>tc={436E1344-8852-40F4-B9F0-441B833C458D}</author>
    <author>tc={1F4D338C-2FDC-4811-9F7B-437035031B21}</author>
    <author>tc={05EA5EFB-A0A7-4F58-B5AB-DA2A85B46885}</author>
    <author>tc={A8FD46F7-2509-4D9D-87F3-965331A68EB0}</author>
    <author>tc={C516673F-DAB6-4A8A-8E8A-D37418B9F054}</author>
    <author>tc={458F5881-2CEA-40DE-A6A7-34ED9A9DF34F}</author>
    <author>tc={3A5B42A3-A069-43E9-B276-A45F45367255}</author>
    <author>tc={36D0A571-47BF-41CA-A9F1-FFC662D15AD9}</author>
    <author>tc={EC804FF9-4C91-4196-BB9D-A984487A71E8}</author>
    <author>tc={D5D2B270-55A6-435D-8F6C-F6F570272A4E}</author>
    <author>tc={7AE145BC-18BF-43F2-8EB7-8E070D5A01DC}</author>
    <author>tc={2B3F236E-A0A1-460B-8964-763C35A5937E}</author>
    <author>tc={7C3102BB-ED29-4CBB-9781-E08272D88F7A}</author>
    <author>tc={9A2CD3A4-D77E-41B8-9954-75A5E7C4027A}</author>
    <author>tc={486D3903-23C3-46E3-8528-D36B9A69FA25}</author>
    <author>tc={319C6949-9711-4722-81A1-7A870562EAC6}</author>
    <author>tc={5E723AB9-5DEC-4ADD-9A00-CC17689AEF8C}</author>
    <author>tc={5E4F58A7-BE18-49C0-A150-AAC8592FE475}</author>
    <author>tc={4F38304B-7ABD-4729-91C0-BC9CDB28A4EE}</author>
    <author>tc={3F150CA9-EC7F-4E1C-AEFA-D3E21AB95D6D}</author>
    <author>tc={A65DFD5D-0416-432C-9CA6-B902838846DC}</author>
    <author>tc={3CC1A406-8D37-4404-BEA8-ADD9EFFFE44E}</author>
    <author>tc={894E3A6F-96FE-43D3-BFC1-1DCB06E80F10}</author>
    <author>tc={C6A25433-0219-49EE-A9C6-5829B4E8D1E8}</author>
    <author>tc={E593AC38-DE48-4B19-A390-2FEF9CB2FE33}</author>
    <author>tc={84E0A8F0-3273-4E5E-94F7-5F44BC81D21D}</author>
    <author>tc={B59F6C38-4F2A-4EDD-A020-DE83F4C08358}</author>
    <author>tc={3E8E2261-E953-440A-BCA5-E3A5978F7F3E}</author>
    <author>tc={3361294D-805B-405A-AE36-4F4A803D0BD1}</author>
    <author>tc={7E62A8EC-2523-4B1D-9F0A-20C3F7F009A2}</author>
    <author>tc={E5ED768C-2A7D-4AC4-BE7B-F126263FD27D}</author>
    <author>tc={E9288AA5-F30C-47BF-9F09-3A6F3F1C44F4}</author>
    <author>tc={179A7C1B-98C6-40DC-AAF5-403E5EE4B458}</author>
  </authors>
  <commentList>
    <comment ref="D8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9" authorId="1" shapeId="0" xr:uid="{B0B4E6CE-63BB-47DC-A15C-D7359C6FCD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2" shapeId="0" xr:uid="{94BD3E44-B84E-4997-9B83-666F603EB55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0" authorId="3" shapeId="0" xr:uid="{3A629425-736C-49FF-8B83-3FBBBC12C4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1" authorId="4" shapeId="0" xr:uid="{B6604738-1FCC-41EE-B03D-9C4A5AEF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2" authorId="5" shapeId="0" xr:uid="{51133E0D-65ED-41FA-8B2C-EC738522D05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3" authorId="6" shapeId="0" xr:uid="{83E81BB2-9091-4C72-9660-EB8BD87DE21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4" authorId="7" shapeId="0" xr:uid="{17EA8562-2D5C-4A0F-8488-4E7A1AB508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5" authorId="8" shapeId="0" xr:uid="{647482BC-52A5-4C91-9959-7BBA5E6CD87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6" authorId="9" shapeId="0" xr:uid="{4BC6F9B3-0328-458A-AD9F-2C59693CE1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7" authorId="10" shapeId="0" xr:uid="{85EDC146-BFD8-4C00-90BF-6180141583A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8" authorId="11" shapeId="0" xr:uid="{8BBE1FFC-2FD4-4F7B-8748-DD3A09817A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9" authorId="12" shapeId="0" xr:uid="{B52CCB72-6685-4492-8C79-DF3E9FFF6F6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0" authorId="13" shapeId="0" xr:uid="{7D96D53B-9120-461B-AD55-4A1A9B2FA0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1" authorId="14" shapeId="0" xr:uid="{F7A6309E-47C5-4215-AF1D-E1CADE616AE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2" authorId="15" shapeId="0" xr:uid="{25B8C135-0142-4D67-857B-4D1E352686C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3" authorId="16" shapeId="0" xr:uid="{804AD62C-96F4-4D38-8DE0-DD3B7197232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4" authorId="17" shapeId="0" xr:uid="{C554E512-E203-4DD4-9C00-323DB78A918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5" authorId="18" shapeId="0" xr:uid="{436E1344-8852-40F4-B9F0-441B833C458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6" authorId="19" shapeId="0" xr:uid="{1F4D338C-2FDC-4811-9F7B-437035031B2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7" authorId="20" shapeId="0" xr:uid="{05EA5EFB-A0A7-4F58-B5AB-DA2A85B468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8" authorId="21" shapeId="0" xr:uid="{A8FD46F7-2509-4D9D-87F3-965331A68EB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9" authorId="22" shapeId="0" xr:uid="{C516673F-DAB6-4A8A-8E8A-D37418B9F05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0" authorId="23" shapeId="0" xr:uid="{458F5881-2CEA-40DE-A6A7-34ED9A9DF34F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1" authorId="24" shapeId="0" xr:uid="{3A5B42A3-A069-43E9-B276-A45F4536725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2" authorId="25" shapeId="0" xr:uid="{36D0A571-47BF-41CA-A9F1-FFC662D15AD9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3" authorId="26" shapeId="0" xr:uid="{EC804FF9-4C91-4196-BB9D-A984487A71E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4" authorId="27" shapeId="0" xr:uid="{D5D2B270-55A6-435D-8F6C-F6F570272A4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5" authorId="28" shapeId="0" xr:uid="{7AE145BC-18BF-43F2-8EB7-8E070D5A01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6" authorId="29" shapeId="0" xr:uid="{2B3F236E-A0A1-460B-8964-763C35A5937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7" authorId="30" shapeId="0" xr:uid="{7C3102BB-ED29-4CBB-9781-E08272D88F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8" authorId="31" shapeId="0" xr:uid="{9A2CD3A4-D77E-41B8-9954-75A5E7C4027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39" authorId="32" shapeId="0" xr:uid="{486D3903-23C3-46E3-8528-D36B9A69FA2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0" authorId="33" shapeId="0" xr:uid="{319C6949-9711-4722-81A1-7A870562EAC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1" authorId="34" shapeId="0" xr:uid="{5E723AB9-5DEC-4ADD-9A00-CC17689AEF8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2" authorId="35" shapeId="0" xr:uid="{5E4F58A7-BE18-49C0-A150-AAC8592FE47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3" authorId="36" shapeId="0" xr:uid="{4F38304B-7ABD-4729-91C0-BC9CDB28A4E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4" authorId="37" shapeId="0" xr:uid="{3F150CA9-EC7F-4E1C-AEFA-D3E21AB95D6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5" authorId="38" shapeId="0" xr:uid="{A65DFD5D-0416-432C-9CA6-B902838846D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6" authorId="39" shapeId="0" xr:uid="{3CC1A406-8D37-4404-BEA8-ADD9EFFFE44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7" authorId="40" shapeId="0" xr:uid="{894E3A6F-96FE-43D3-BFC1-1DCB06E80F1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8" authorId="41" shapeId="0" xr:uid="{C6A25433-0219-49EE-A9C6-5829B4E8D1E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49" authorId="42" shapeId="0" xr:uid="{E593AC38-DE48-4B19-A390-2FEF9CB2FE3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0" authorId="43" shapeId="0" xr:uid="{84E0A8F0-3273-4E5E-94F7-5F44BC81D21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1" authorId="44" shapeId="0" xr:uid="{B59F6C38-4F2A-4EDD-A020-DE83F4C0835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2" authorId="45" shapeId="0" xr:uid="{3E8E2261-E953-440A-BCA5-E3A5978F7F3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3" authorId="46" shapeId="0" xr:uid="{3361294D-805B-405A-AE36-4F4A803D0BD1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4" authorId="47" shapeId="0" xr:uid="{7E62A8EC-2523-4B1D-9F0A-20C3F7F009A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5" authorId="48" shapeId="0" xr:uid="{E5ED768C-2A7D-4AC4-BE7B-F126263FD27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6" authorId="49" shapeId="0" xr:uid="{E9288AA5-F30C-47BF-9F09-3A6F3F1C44F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57" authorId="50" shapeId="0" xr:uid="{179A7C1B-98C6-40DC-AAF5-403E5EE4B45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<sst xmlns="http://schemas.openxmlformats.org/spreadsheetml/2006/main" count="2934" uniqueCount="423">
  <si>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</si>
  <si>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</si>
  <si>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</si>
  <si>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</si>
  <si>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</si>
  <si>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</si>
  <si>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</si>
  <si>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</si>
  <si>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</si>
  <si>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</si>
  <si>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</si>
  <si>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</si>
  <si>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</si>
  <si>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</si>
  <si>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</si>
  <si>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</si>
  <si>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</si>
  <si>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</si>
  <si>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</si>
  <si>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</si>
  <si>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</si>
  <si>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</si>
  <si>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</si>
  <si>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</si>
  <si>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</si>
  <si>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</si>
  <si>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</si>
  <si>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</si>
  <si>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</si>
  <si>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</si>
  <si>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</si>
  <si>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</si>
  <si>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</si>
  <si>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</si>
  <si>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</si>
  <si>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</si>
  <si>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</si>
  <si>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</si>
  <si>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</si>
  <si>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</si>
  <si>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</si>
  <si>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</si>
  <si>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</si>
  <si>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</si>
  <si>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</si>
  <si>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</si>
  <si>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</si>
  <si>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</si>
  <si>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</si>
  <si>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</si>
  <si>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</si>
  <si>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</si>
  <si>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</si>
  <si>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</si>
  <si>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</si>
  <si>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</si>
  <si>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</si>
  <si>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</si>
  <si>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</si>
  <si>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</si>
  <si>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</si>
  <si>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</si>
  <si>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</si>
  <si>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</si>
  <si>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</si>
  <si>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</si>
  <si>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</si>
  <si>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</si>
  <si>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</si>
  <si>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</si>
  <si>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</si>
  <si>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</si>
  <si>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</si>
  <si>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</si>
  <si>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</si>
  <si>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</si>
  <si>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</si>
  <si>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</si>
  <si>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</si>
  <si>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</si>
  <si>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</si>
  <si>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</si>
  <si>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</si>
  <si>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</si>
  <si>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</si>
  <si>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</si>
  <si>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</si>
  <si>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</si>
  <si>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</si>
  <si>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</si>
  <si>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</si>
  <si>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</si>
  <si>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</si>
  <si>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</si>
  <si>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</si>
  <si>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</si>
  <si>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</si>
  <si>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</si>
  <si>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</si>
  <si>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</si>
  <si>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</si>
  <si>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</si>
  <si>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</si>
  <si>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</si>
  <si>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</si>
  <si>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</si>
  <si>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</si>
  <si>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</si>
  <si>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</si>
  <si>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</si>
  <si>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</si>
  <si>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</si>
  <si>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</si>
  <si>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</si>
  <si>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</si>
  <si>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</si>
  <si>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</si>
  <si>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</si>
  <si>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</si>
  <si>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</si>
  <si>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</si>
  <si>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</si>
  <si>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</si>
  <si>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</si>
  <si>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</si>
  <si>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</si>
  <si>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</si>
  <si>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</si>
  <si>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</si>
  <si>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</si>
  <si>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</si>
  <si>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</si>
  <si>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</si>
  <si>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</si>
  <si>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</si>
  <si>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</si>
  <si>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</si>
  <si>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</si>
  <si>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</si>
  <si>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</si>
  <si>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</si>
  <si>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</si>
  <si>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</si>
  <si>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</si>
  <si>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</si>
  <si>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</si>
  <si>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</si>
  <si>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</si>
  <si>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</si>
  <si>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</si>
  <si>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</si>
  <si>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</si>
  <si>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</si>
  <si>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</si>
  <si>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</si>
  <si>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</si>
  <si>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</si>
  <si>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</si>
  <si>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</si>
  <si>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</si>
  <si>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</si>
  <si>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</si>
  <si>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</si>
  <si>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</si>
  <si>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</si>
  <si>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</si>
  <si>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</si>
  <si>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</si>
  <si>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</si>
  <si>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</si>
  <si>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</si>
  <si>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</si>
  <si>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</si>
  <si>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</si>
  <si>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</si>
  <si>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</si>
  <si>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</si>
  <si>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</si>
  <si>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</si>
  <si>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</si>
  <si>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</si>
  <si>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</si>
  <si>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</si>
  <si>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</si>
  <si>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</si>
  <si>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</si>
  <si>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</si>
  <si>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</si>
  <si>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</si>
  <si>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</si>
  <si>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</si>
  <si>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</si>
  <si>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</si>
  <si>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</si>
  <si>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CPAMS-TrGr</t>
  </si>
  <si>
    <t>HiPam</t>
  </si>
  <si>
    <t>HPAMSIRP</t>
  </si>
  <si>
    <t>NoPAMS-TrGr-FrcdCoal</t>
  </si>
  <si>
    <t>CPAMSIRPTG</t>
  </si>
  <si>
    <t>NOPAMSFCTG</t>
  </si>
  <si>
    <t>Configured in SATIM?</t>
  </si>
  <si>
    <t>yes tested</t>
  </si>
  <si>
    <t>Link to CGE? (SIM_esage)</t>
  </si>
  <si>
    <t>Path</t>
  </si>
  <si>
    <t>CPAMS-NoIRP</t>
  </si>
  <si>
    <t>Link to Waste? (SIM_Waste)</t>
  </si>
  <si>
    <t>Link to AFOLU? (SIM_AFOLU)</t>
  </si>
  <si>
    <t>Sum of Link to Waste?</t>
  </si>
  <si>
    <t>Sum of Link to AFOLU?</t>
  </si>
  <si>
    <t>CPAMS-MRE</t>
  </si>
  <si>
    <t>CPAMSMRE</t>
  </si>
  <si>
    <t>SIM_WASTE</t>
  </si>
  <si>
    <t>SIM_AFOLU</t>
  </si>
  <si>
    <t>CPAMSRE</t>
  </si>
  <si>
    <t>CPAMSRETG</t>
  </si>
  <si>
    <t>LoPAMS</t>
  </si>
  <si>
    <t>LPAMS</t>
  </si>
  <si>
    <t>CPAMS-RE</t>
  </si>
  <si>
    <t>CPAMS-TrGr-RE</t>
  </si>
  <si>
    <t>LoPAMS-MRE-TrGr</t>
  </si>
  <si>
    <t>LPAMSMRETG</t>
  </si>
  <si>
    <t>CPAMS-TrGr-MRE</t>
  </si>
  <si>
    <t>CPAMSMRETG</t>
  </si>
  <si>
    <t>NoPAMS_NDP</t>
  </si>
  <si>
    <t>NOPAMS_NDP</t>
  </si>
  <si>
    <t>CPAMS_NDP</t>
  </si>
  <si>
    <t>NOPAMS_LEAF</t>
  </si>
  <si>
    <t>CPAMSRE_LEAF</t>
  </si>
  <si>
    <t>CPAMS_LEAF</t>
  </si>
  <si>
    <t>NoPAMS-LEAF</t>
  </si>
  <si>
    <t>CPAMS-LEAF</t>
  </si>
  <si>
    <t>CPAMS-RE-LEAF</t>
  </si>
  <si>
    <t>NoPAMS-LEAF-TrGr</t>
  </si>
  <si>
    <t>CPAMS-LEAF-TrGr</t>
  </si>
  <si>
    <t>NoPAMS-LOP</t>
  </si>
  <si>
    <t>NOPAMSLOP</t>
  </si>
  <si>
    <t>NoPAMS-IRP</t>
  </si>
  <si>
    <t>NOPAMSCAP</t>
  </si>
  <si>
    <t>CO2 Cumulative Cap (SIM_CO2CUMUL)</t>
  </si>
  <si>
    <t>Sum of CO2 CumCap</t>
  </si>
  <si>
    <t>SIM_CO2CUMUL</t>
  </si>
  <si>
    <t>NOPAMSMRE_LE</t>
  </si>
  <si>
    <t>NoPAMS-MRE-LEAF</t>
  </si>
  <si>
    <t>NoPAMS-MRE-LEAF-TrGr</t>
  </si>
  <si>
    <t>NoPAMS-RE-LEAF-TrGr</t>
  </si>
  <si>
    <t>NOPAMSRE_LE</t>
  </si>
  <si>
    <t>CPAMS-NoIRP-LEAF</t>
  </si>
  <si>
    <t>CPAMSNOIRPLE</t>
  </si>
  <si>
    <t>CPAMS-MRE-LEAF</t>
  </si>
  <si>
    <t>CPAMSMRELEAF</t>
  </si>
  <si>
    <t>CPAMS-NoIRP-LEAF-TrGr</t>
  </si>
  <si>
    <t>CPAMS-MRE-LEAF-TrGr</t>
  </si>
  <si>
    <t>CPAMS-RE-LEAF-TrGr</t>
  </si>
  <si>
    <t>NoPAMS-RE-LEAF</t>
  </si>
  <si>
    <t>CPAMS-CAP10</t>
  </si>
  <si>
    <t>CPAMS-CAP09</t>
  </si>
  <si>
    <t>CPAMS-CAP08</t>
  </si>
  <si>
    <t>CPAMS-CAP07</t>
  </si>
  <si>
    <t>CPAMS-CAP06</t>
  </si>
  <si>
    <t>CPAMSCAP</t>
  </si>
  <si>
    <t>NOPAMS_EXP</t>
  </si>
  <si>
    <t>NoPAMS-RR</t>
  </si>
  <si>
    <t>Project Tags</t>
  </si>
  <si>
    <t>NDC</t>
  </si>
  <si>
    <t>IFPRI #6</t>
  </si>
  <si>
    <t>Nuclear NERSA</t>
  </si>
  <si>
    <t>Coal IPP</t>
  </si>
  <si>
    <t>NetZero</t>
  </si>
  <si>
    <t>NoPAMS_Fnuc</t>
  </si>
  <si>
    <t>NOPAMS_NF</t>
  </si>
  <si>
    <t>NOPAMS_NF_LF</t>
  </si>
  <si>
    <t>NoPAMS_Fnuc-LEAF</t>
  </si>
  <si>
    <t>NoPAMS_Fnuc-LEAF-TrGr</t>
  </si>
  <si>
    <t>NZ-REF</t>
  </si>
  <si>
    <t>NZ-CO2S2050</t>
  </si>
  <si>
    <t>NZ-REF-L</t>
  </si>
  <si>
    <t>NZ-REF-L-OC</t>
  </si>
  <si>
    <t>NZ-REF-OC</t>
  </si>
  <si>
    <t>NZ-REF-L-FC</t>
  </si>
  <si>
    <t>NZ-REF-L-FCOC</t>
  </si>
  <si>
    <t>NZ-REF-FC</t>
  </si>
  <si>
    <t>NZ-REF-FCOC</t>
  </si>
  <si>
    <t>IRPRE</t>
  </si>
  <si>
    <t>IRPRE-25P</t>
  </si>
  <si>
    <t>IRPRE-50P</t>
  </si>
  <si>
    <t>OPT</t>
  </si>
  <si>
    <t>OPT-25P</t>
  </si>
  <si>
    <t>OPT-50P</t>
  </si>
  <si>
    <t>NZ-REF-25P</t>
  </si>
  <si>
    <t>NZ-REF-50P</t>
  </si>
  <si>
    <t>NZ-REF-01P</t>
  </si>
  <si>
    <t>NZ-REF-05P</t>
  </si>
  <si>
    <t>OPT-01P</t>
  </si>
  <si>
    <t>OPT-05P</t>
  </si>
  <si>
    <t>OPT-10P</t>
  </si>
  <si>
    <t>NZ-REF-10P</t>
  </si>
  <si>
    <t>IRPRE-01P</t>
  </si>
  <si>
    <t>IRPRE-05P</t>
  </si>
  <si>
    <t>IRPRE-10P</t>
  </si>
  <si>
    <t>CO2ACAP280</t>
  </si>
  <si>
    <t>CO2ACAP350</t>
  </si>
  <si>
    <t>CPAMS-CAP0575-L</t>
  </si>
  <si>
    <t>CPAMS-CAP0600-L</t>
  </si>
  <si>
    <t>CPAMS-CAP0625-L</t>
  </si>
  <si>
    <t>CPAMS-CAP0650-L</t>
  </si>
  <si>
    <t>CPAMS-CAP0675-L</t>
  </si>
  <si>
    <t>CPAMS-CAP0700-L</t>
  </si>
  <si>
    <t>CPAMS-CAP0750-L</t>
  </si>
  <si>
    <t>CPAMS-CAP0800-L</t>
  </si>
  <si>
    <t>CPAMS-CAP0900-L</t>
  </si>
  <si>
    <t>CPAMS-CAP1000-L</t>
  </si>
  <si>
    <t>NoPAMS-CAP1000-L</t>
  </si>
  <si>
    <t>NoPAMS-CAP0900-L</t>
  </si>
  <si>
    <t>NoPAMS-CAP0800-L</t>
  </si>
  <si>
    <t>NoPAMS-CAP0750-L</t>
  </si>
  <si>
    <t>NoPAMS-CAP0700-L</t>
  </si>
  <si>
    <t>NoPAMS-CAP0675-L</t>
  </si>
  <si>
    <t>NoPAMS-CAP0650-L</t>
  </si>
  <si>
    <t>NoPAMS-CAP0625-L</t>
  </si>
  <si>
    <t>NoPAMS-CAP0600-L</t>
  </si>
  <si>
    <t>NoPAMS-CAP0575-L</t>
  </si>
  <si>
    <t>P4C</t>
  </si>
  <si>
    <t>SAREM</t>
  </si>
  <si>
    <t>NoPAMS-HiGr</t>
  </si>
  <si>
    <t>NoPAMS-HiGr-CAP0700</t>
  </si>
  <si>
    <t>NoPAMS-HiGr-CAP0600</t>
  </si>
  <si>
    <t>NoPAMS-CAP0735-L</t>
  </si>
  <si>
    <t>included runs</t>
  </si>
  <si>
    <t>CPAMS-HiGr-CAP0700</t>
  </si>
  <si>
    <t>CPAMS-HiGr-CAP0700-IRP</t>
  </si>
  <si>
    <t>CPAMSCAPIRP</t>
  </si>
  <si>
    <t>CPAMS-HiGr-CAP0700-IRPL</t>
  </si>
  <si>
    <t>CPAMSCAPIRPL</t>
  </si>
  <si>
    <t>Name Check</t>
  </si>
  <si>
    <t>CPAMS-CAP0735-L</t>
  </si>
  <si>
    <t>NoPAMS-CAP0720-L</t>
  </si>
  <si>
    <t>NoPAMS-HiGr-CAP0720</t>
  </si>
  <si>
    <t>NoPAMS-HiGr-CAP0750</t>
  </si>
  <si>
    <t>NoPAMS-HiGr-CAP0800</t>
  </si>
  <si>
    <t>NoPAMS-EEnoGTS</t>
  </si>
  <si>
    <t>EECAP</t>
  </si>
  <si>
    <t>CPAMS-HiGr-IRP</t>
  </si>
  <si>
    <t>CPAMS-IRP</t>
  </si>
  <si>
    <t>CPAMS-CAP0650-IRP</t>
  </si>
  <si>
    <t>CPAMS-CAP0600-IRP</t>
  </si>
  <si>
    <t>CPAMS-CAP0700-IRP</t>
  </si>
  <si>
    <t>CPAMS-CAP0750-IRP</t>
  </si>
  <si>
    <t>CPAMS-HiGr-CAP0600</t>
  </si>
  <si>
    <t>CPAMS-HiGr-CAP0600-IRP</t>
  </si>
  <si>
    <t>CPAMS-HiGr-CAP0650</t>
  </si>
  <si>
    <t>CPAMS-HiGr-CAP0650-IRP</t>
  </si>
  <si>
    <t>CPAMS-HiGr-CAP0720</t>
  </si>
  <si>
    <t>CPAMS-HiGr-CAP0720-IRP</t>
  </si>
  <si>
    <t>CPAMS-HiGr-CAP0750</t>
  </si>
  <si>
    <t>CPAMS-HiGr-CAP0750-IRP</t>
  </si>
  <si>
    <t>CPAMS-HiGr-CAP0800</t>
  </si>
  <si>
    <t>NoPAMS-HiGr-CAP0650</t>
  </si>
  <si>
    <t>NoPAMS-CAP0700-IRP</t>
  </si>
  <si>
    <t>NOPAMSCAPIRP</t>
  </si>
  <si>
    <t>NoPAMS-HiGr-IRP</t>
  </si>
  <si>
    <t>NoPAMS-HiGr-CAP0700-IRP</t>
  </si>
  <si>
    <t>CPAMSCAPIRPN</t>
  </si>
  <si>
    <t>NoPAMS-HiGr-IRPN</t>
  </si>
  <si>
    <t>NOPAMCAPIRPN</t>
  </si>
  <si>
    <t>NoPAMS-HiGr-CAP0700-IRPN</t>
  </si>
  <si>
    <t>CPAMS-HiGr-CAP0750-IRPN</t>
  </si>
  <si>
    <t>CPAMS-HiGr-CAP0720-IRPN</t>
  </si>
  <si>
    <t>CPAMS-HiGr-CAP0700-IRPN</t>
  </si>
  <si>
    <t>CPAMS-HiGr-CAP0650-IRPN</t>
  </si>
  <si>
    <t>NoPAMS-CAP0700-IRPN</t>
  </si>
  <si>
    <t>CPAMS-CAP0750-IRPN</t>
  </si>
  <si>
    <t>CPAMS-CAP0700-IRPN</t>
  </si>
  <si>
    <t>CPAMS-CAP0650-IRPN</t>
  </si>
  <si>
    <t>CPAMS-HiGr-IRPN</t>
  </si>
  <si>
    <t>CPAMS-IRPN</t>
  </si>
  <si>
    <t>CPAMS-HiGr-IRPL</t>
  </si>
  <si>
    <t>CPAMS-IRPL</t>
  </si>
  <si>
    <t>NoPAMS-IRPL</t>
  </si>
  <si>
    <t>NOPAMCAPIRPL</t>
  </si>
  <si>
    <t>NoPAMS-HiGr-IRPL</t>
  </si>
  <si>
    <t>NoPams</t>
  </si>
  <si>
    <t>Reference</t>
  </si>
  <si>
    <t>ForcedCoal</t>
  </si>
  <si>
    <t>NOPAMSCAPFC</t>
  </si>
  <si>
    <t>Reference-L</t>
  </si>
  <si>
    <t>ForcedCoal-L</t>
  </si>
  <si>
    <t>ForcedCoal350</t>
  </si>
  <si>
    <t>Reference350</t>
  </si>
  <si>
    <t>ReferencePAMS350</t>
  </si>
  <si>
    <t>ForcedCoalPAMS350</t>
  </si>
  <si>
    <t>CPAMSCAPFC</t>
  </si>
  <si>
    <t>ReferenceIRP</t>
  </si>
  <si>
    <t>ForcedCoalIRP</t>
  </si>
  <si>
    <t>NOPAMCAPIRPF</t>
  </si>
  <si>
    <t>NOPAMSFGDA</t>
  </si>
  <si>
    <t>ScenarioA</t>
  </si>
  <si>
    <t>ScenarioBGrad</t>
  </si>
  <si>
    <t>NOPAMSFGDB1</t>
  </si>
  <si>
    <t>ScenarioBSteep</t>
  </si>
  <si>
    <t>NOPAMSFGDB2</t>
  </si>
  <si>
    <t>ScenarioBLast3</t>
  </si>
  <si>
    <t>NOPAMSFGDB3</t>
  </si>
  <si>
    <t>ScenarioCGrad</t>
  </si>
  <si>
    <t>ScenarioCSteep</t>
  </si>
  <si>
    <t>ScenarioCLast3</t>
  </si>
  <si>
    <t>NOPAMSFGDC1</t>
  </si>
  <si>
    <t>NOPAMSFGDC2</t>
  </si>
  <si>
    <t>NOPAMSFGDC3</t>
  </si>
  <si>
    <t>Eskom</t>
  </si>
  <si>
    <t>ScenarioAIRPL</t>
  </si>
  <si>
    <t>NOPAMSFGDAIL</t>
  </si>
  <si>
    <t>ReferenceIRPNER</t>
  </si>
  <si>
    <t>ForcedCoalIRPNER</t>
  </si>
  <si>
    <t>ReferencePAMS350NER</t>
  </si>
  <si>
    <t>ForcedCoalPAMS350NER</t>
  </si>
  <si>
    <t>Reference-HiExt</t>
  </si>
  <si>
    <t>ForcedCoal-HiExt</t>
  </si>
  <si>
    <t>Reference-OptRE</t>
  </si>
  <si>
    <t>ForcedCoal-OptRE</t>
  </si>
  <si>
    <t>NOPAMSCAPHE</t>
  </si>
  <si>
    <t>NOPAMSCAPFCH</t>
  </si>
  <si>
    <t>NOPAMSCAPOC</t>
  </si>
  <si>
    <t>NOPAMSCAPFCO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</si>
</sst>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38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  <border>
      <left style="thin">
        <color rgb="FF7F7F7F"/>
      </left>
      <right style="thin">
        <color rgb="FF7F7F7F"/>
      </right>
      <top/>
      <bottom/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1">
    <xf numFmtId="0" fontId="0" fillId="0" borderId="0" xfId="0"/>
    <xf numFmtId="0" fontId="3" fillId="0" borderId="1" xfId="0" applyFont="1" applyBorder="1"/>
    <xf numFmtId="0" fontId="3" fillId="0" borderId="0" xfId="0" applyFont="1"/>
    <xf numFmtId="0" fontId="0" fillId="0" borderId="0" xfId="0" applyNumberForma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0" fillId="0" borderId="0" xfId="0"/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6" fillId="2" borderId="4" xfId="86"/>
    <xf numFmtId="0" fontId="36" fillId="0" borderId="0" xfId="0" applyFont="1"/>
    <xf numFmtId="0" fontId="6" fillId="2" borderId="10" xfId="86" applyBorder="1"/>
    <xf numFmtId="0" fontId="3" fillId="12" borderId="0" xfId="0" applyFont="1" applyFill="1" applyAlignment="1">
      <alignment horizontal="center" wrapText="1"/>
    </xf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369.701447222222" createdVersion="6" refreshedVersion="7" minRefreshableVersion="3" recordCount="168" xr:uid="{C0EB43E8-6CC6-4DE4-B7F1-02B09F7BA69A}">
  <cacheSource type="worksheet">
    <worksheetSource ref="A7:P208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54">
        <s v="NoPams"/>
        <s v="NoPAMS-IRP"/>
        <s v="NoPAMS-IRPL"/>
        <s v="NoPAMS-EEnoGTS"/>
        <s v="LoPAMS"/>
        <s v="CPAMS-NoIRP"/>
        <s v="CPAMS-MRE"/>
        <s v="CPAMS-RE"/>
        <s v="CPAMS-IRP"/>
        <s v="CPAMS-IRPN"/>
        <s v="CPAMS-IRPL"/>
        <s v="CPAMS-HiGr-IRP"/>
        <s v="CPAMS-HiGr-IRPN"/>
        <s v="CPAMS-HiGr-IRPL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HiGr"/>
        <s v="NoPAMS-HiGr-IRP"/>
        <s v="NoPAMS-HiGr-IRPN"/>
        <s v="NoPAMS-HiGr-IRPL"/>
        <s v="NoPAMS-HiGr-CAP0800"/>
        <s v="NoPAMS-HiGr-CAP0750"/>
        <s v="NoPAMS-HiGr-CAP0720"/>
        <s v="NoPAMS-HiGr-CAP0700"/>
        <s v="NoPAMS-HiGr-CAP0700-IRP"/>
        <s v="NoPAMS-HiGr-CAP0700-IRPN"/>
        <s v="NoPAMS-HiGr-CAP0650"/>
        <s v="NoPAMS-HiGr-CAP0600"/>
        <s v="NoPAMS-LEAF-TrGr"/>
        <s v="CPAMS-HiGr-CAP0800"/>
        <s v="CPAMS-HiGr-CAP0750"/>
        <s v="CPAMS-HiGr-CAP0750-IRP"/>
        <s v="CPAMS-HiGr-CAP0750-IRPN"/>
        <s v="CPAMS-HiGr-CAP0720"/>
        <s v="CPAMS-HiGr-CAP0720-IRP"/>
        <s v="CPAMS-HiGr-CAP0720-IRPN"/>
        <s v="CPAMS-HiGr-CAP0700"/>
        <s v="CPAMS-HiGr-CAP0700-IRP"/>
        <s v="CPAMS-HiGr-CAP0700-IRPN"/>
        <s v="CPAMS-HiGr-CAP0700-IRPL"/>
        <s v="CPAMS-HiGr-CAP0650"/>
        <s v="CPAMS-HiGr-CAP0650-IRP"/>
        <s v="CPAMS-HiGr-CAP0650-IRPN"/>
        <s v="CPAMS-HiGr-CAP0600"/>
        <s v="CPAMS-HiGr-CAP0600-IRP"/>
        <s v="CPAMS-LEAF-TrGr"/>
        <s v="NoPAMS-LOP"/>
        <s v="NoPAMS-CAP1000-L"/>
        <s v="NoPAMS-CAP0900-L"/>
        <s v="NoPAMS-CAP0800-L"/>
        <s v="NoPAMS-CAP0750-L"/>
        <s v="NoPAMS-CAP0735-L"/>
        <s v="NoPAMS-CAP0720-L"/>
        <s v="NoPAMS-CAP0700-L"/>
        <s v="NoPAMS-CAP0700-IRP"/>
        <s v="NoPAMS-CAP0700-IRPN"/>
        <s v="NoPAMS-CAP0675-L"/>
        <s v="NoPAMS-CAP0650-L"/>
        <s v="NoPAMS-CAP0625-L"/>
        <s v="NoPAMS-CAP0600-L"/>
        <s v="NoPAMS-CAP0575-L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CPAMS-CAP1000-L"/>
        <s v="CPAMS-CAP0900-L"/>
        <s v="CPAMS-CAP0800-L"/>
        <s v="CPAMS-CAP0750-L"/>
        <s v="CPAMS-CAP0750-IRP"/>
        <s v="CPAMS-CAP0750-IRPN"/>
        <s v="CPAMS-CAP0735-L"/>
        <s v="CPAMS-CAP0700-L"/>
        <s v="CPAMS-CAP0700-IRP"/>
        <s v="CPAMS-CAP0700-IRPN"/>
        <s v="CPAMS-CAP0675-L"/>
        <s v="CPAMS-CAP0650-L"/>
        <s v="CPAMS-CAP0650-IRP"/>
        <s v="CPAMS-CAP0650-IRPN"/>
        <s v="CPAMS-CAP0625-L"/>
        <s v="CPAMS-CAP0600-L"/>
        <s v="CPAMS-CAP0600-IRP"/>
        <s v="CPAMS-CAP0575-L"/>
        <s v="NoPAMS-RR"/>
        <s v="NZ-REF-L"/>
        <s v="NZ-REF-L-OC"/>
        <s v="NZ-REF-L-FC"/>
        <s v="NZ-REF-L-FCOC"/>
        <s v="NZ-REF"/>
        <s v="CO2ACAP350"/>
        <s v="CO2ACAP280"/>
        <s v="Reference"/>
        <s v="ForcedCoal"/>
        <s v="Reference-HiExt"/>
        <s v="ForcedCoal-HiExt"/>
        <s v="Reference-OptRE"/>
        <s v="ForcedCoal-OptRE"/>
        <s v="Reference-L"/>
        <s v="ForcedCoal-L"/>
        <s v="ReferenceIRP"/>
        <s v="ForcedCoalIRP"/>
        <s v="ReferenceIRPNER"/>
        <s v="ForcedCoalIRPNER"/>
        <s v="Reference350"/>
        <s v="ForcedCoal350"/>
        <s v="ReferencePAMS350"/>
        <s v="ForcedCoalPAMS350"/>
        <s v="ReferencePAMS350NER"/>
        <s v="ForcedCoalPAMS350NER"/>
        <s v="NZ-CO2S2050"/>
        <s v="IRPRE"/>
        <s v="IRPRE-01P"/>
        <s v="IRPRE-05P"/>
        <s v="IRPRE-10P"/>
        <s v="IRPRE-25P"/>
        <s v="IRPRE-50P"/>
        <s v="OPT"/>
        <s v="OPT-01P"/>
        <s v="OPT-05P"/>
        <s v="OPT-10P"/>
        <s v="OPT-25P"/>
        <s v="OPT-50P"/>
        <s v="NoPAMS_Fnuc"/>
        <s v="ScenarioA"/>
        <s v="ScenarioAIRPL"/>
        <s v="ScenarioBGrad"/>
        <s v="ScenarioBSteep"/>
        <s v="ScenarioBLast3"/>
        <s v="ScenarioCGrad"/>
        <s v="ScenarioCSteep"/>
        <s v="ScenarioCLast3"/>
        <s v="NoPAMS_Fnuc-LEAF"/>
        <s v="NoPAMS_Fnuc-LEAF-TrG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s v="sim1"/>
        <m/>
        <s v="sim2" u="1"/>
      </sharedItems>
    </cacheField>
    <cacheField name="SATIM (TIMES) Case" numFmtId="0">
      <sharedItems containsBlank="1" count="89">
        <s v="NOPAMSCAP"/>
        <s v="NOPAMSCAPIRP"/>
        <s v="NOPAMCAPIRPL"/>
        <s v="EECAP"/>
        <s v="LPAMS"/>
        <s v="CPAMSCAP"/>
        <s v="CPAMSMRE"/>
        <s v="CPAMSRE"/>
        <s v="CPAMSCAPIRP"/>
        <s v="CPAMSCAPIRPN"/>
        <s v="CPAMSCAPIRPL"/>
        <s v="HPAMSIRP"/>
        <s v="NOPAMS_NDP"/>
        <s v="CPAMS_NDP"/>
        <s v="NOPAMS_LEAF"/>
        <s v="CPAMS_LEAF"/>
        <s v="CPAMSRE_LEAF"/>
        <s v="CPAMSIRPTG"/>
        <s v="CPAMSRETG"/>
        <s v="CPAMSMRETG"/>
        <s v="LPAMSMRETG"/>
        <s v="NOPAMSFCTG"/>
        <s v="NOPAMCAPIRPN"/>
        <s v="NOPAMSLOP"/>
        <s v="NOPAMSMRE_LE"/>
        <s v="NOPAMSRE_LE"/>
        <s v="CPAMSNOIRPLE"/>
        <s v="CPAMSMRELEAF"/>
        <s v="NOPAMS_EXP"/>
        <s v="NZ-REF"/>
        <s v="NZ-REF-OC"/>
        <s v="NZ-REF-FC"/>
        <s v="NZ-REF-FCOC"/>
        <s v="CO2ACAP350"/>
        <s v="CO2ACAP280"/>
        <s v="NOPAMSCAPFC"/>
        <s v="NOPAMSCAPHE"/>
        <s v="NOPAMSCAPFCH"/>
        <s v="NOPAMSCAPOC"/>
        <s v="NOPAMSCAPFCO"/>
        <s v="NOPAMCAPIRPF"/>
        <s v="CPAMSCAPFC"/>
        <s v="NZ-CO2S2050"/>
        <s v="IRPRE"/>
        <s v="IRPRE-01P"/>
        <s v="IRPRE-05P"/>
        <s v="IRPRE-10P"/>
        <s v="IRPRE-25P"/>
        <s v="IRPRE-50P"/>
        <s v="NZ-REF-01P"/>
        <s v="NZ-REF-05P"/>
        <s v="NZ-REF-10P"/>
        <s v="NZ-REF-25P"/>
        <s v="NZ-REF-50P"/>
        <s v="NOPAMS_NF"/>
        <s v="NOPAMSFGDA"/>
        <s v="NOPAMSFGDAIL"/>
        <s v="NOPAMSFGDB1"/>
        <s v="NOPAMSFGDB2"/>
        <s v="NOPAMSFGDB3"/>
        <s v="NOPAMSFGDC1"/>
        <s v="NOPAMSFGDC2"/>
        <s v="NOPAMSFGDC3"/>
        <s v="NOPAMS_NF_LF"/>
        <m/>
        <s v="LPAMSFC" u="1"/>
        <s v="CPAMSREPROGHG" u="1"/>
        <s v="NOPAMSFCHG" u="1"/>
        <s v="CPAMSNOIRP" u="1"/>
        <s v="CPAMSREPROGTG" u="1"/>
        <s v="CPAMSREPROG" u="1"/>
        <s v="NOPAMSFC" u="1"/>
        <s v="RUNCOAL" u="1"/>
        <s v="CPAMSIRP" u="1"/>
        <s v="NOPAMSCAP10" u="1"/>
        <s v="NOPAMS_T" u="1"/>
        <s v="IRP-25P" u="1"/>
        <s v="HPAMSREPROG" u="1"/>
        <s v="LPAMSMRE" u="1"/>
        <s v="NOPAMS_EXP2" u="1"/>
        <s v="CPAMSMRE_LEAF" u="1"/>
        <s v="RUNZERO" u="1"/>
        <s v="NOPAMS" u="1"/>
        <s v="NOPAMS_EXP3" u="1"/>
        <s v="LPAMSMREP" u="1"/>
        <s v="NOPAMS_EXP4" u="1"/>
        <s v="CPAMSCP" u="1"/>
        <s v="NOPAMSIRP" u="1"/>
        <s v="CPAMSREPROTG" u="1"/>
      </sharedItems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minValue="5.7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4369.701449189815" createdVersion="6" refreshedVersion="7" minRefreshableVersion="3" recordCount="168" xr:uid="{D229C3DF-142A-4D15-BB2C-2EA205AB0203}">
  <cacheSource type="worksheet">
    <worksheetSource ref="A7:P20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154">
        <s v="NoPams"/>
        <s v="NoPAMS-IRP"/>
        <s v="NoPAMS-IRPL"/>
        <s v="NoPAMS-EEnoGTS"/>
        <s v="LoPAMS"/>
        <s v="CPAMS-NoIRP"/>
        <s v="CPAMS-MRE"/>
        <s v="CPAMS-RE"/>
        <s v="CPAMS-IRP"/>
        <s v="CPAMS-IRPN"/>
        <s v="CPAMS-IRPL"/>
        <s v="CPAMS-HiGr-IRP"/>
        <s v="CPAMS-HiGr-IRPN"/>
        <s v="CPAMS-HiGr-IRPL"/>
        <s v="HiPam"/>
        <s v="NoPAMS_NDP"/>
        <s v="CPAMS_NDP"/>
        <s v="NoPAMS-LEAF"/>
        <s v="CPAMS-LEAF"/>
        <s v="CPAMS-RE-LEAF"/>
        <s v="CPAMS-TrGr"/>
        <s v="CPAMS-TrGr-RE"/>
        <s v="CPAMS-TrGr-MRE"/>
        <s v="LoPAMS-MRE-TrGr"/>
        <s v="NoPAMS-TrGr-FrcdCoal"/>
        <s v="NoPAMS-HiGr"/>
        <s v="NoPAMS-HiGr-IRP"/>
        <s v="NoPAMS-HiGr-IRPN"/>
        <s v="NoPAMS-HiGr-IRPL"/>
        <s v="NoPAMS-HiGr-CAP0800"/>
        <s v="NoPAMS-HiGr-CAP0750"/>
        <s v="NoPAMS-HiGr-CAP0720"/>
        <s v="NoPAMS-HiGr-CAP0700"/>
        <s v="NoPAMS-HiGr-CAP0700-IRP"/>
        <s v="NoPAMS-HiGr-CAP0700-IRPN"/>
        <s v="NoPAMS-HiGr-CAP0650"/>
        <s v="NoPAMS-HiGr-CAP0600"/>
        <s v="NoPAMS-LEAF-TrGr"/>
        <s v="CPAMS-HiGr-CAP0800"/>
        <s v="CPAMS-HiGr-CAP0750"/>
        <s v="CPAMS-HiGr-CAP0750-IRP"/>
        <s v="CPAMS-HiGr-CAP0750-IRPN"/>
        <s v="CPAMS-HiGr-CAP0720"/>
        <s v="CPAMS-HiGr-CAP0720-IRP"/>
        <s v="CPAMS-HiGr-CAP0720-IRPN"/>
        <s v="CPAMS-HiGr-CAP0700"/>
        <s v="CPAMS-HiGr-CAP0700-IRP"/>
        <s v="CPAMS-HiGr-CAP0700-IRPN"/>
        <s v="CPAMS-HiGr-CAP0700-IRPL"/>
        <s v="CPAMS-HiGr-CAP0650"/>
        <s v="CPAMS-HiGr-CAP0650-IRP"/>
        <s v="CPAMS-HiGr-CAP0650-IRPN"/>
        <s v="CPAMS-HiGr-CAP0600"/>
        <s v="CPAMS-HiGr-CAP0600-IRP"/>
        <s v="CPAMS-LEAF-TrGr"/>
        <s v="NoPAMS-LOP"/>
        <s v="NoPAMS-CAP1000-L"/>
        <s v="NoPAMS-CAP0900-L"/>
        <s v="NoPAMS-CAP0800-L"/>
        <s v="NoPAMS-CAP0750-L"/>
        <s v="NoPAMS-CAP0735-L"/>
        <s v="NoPAMS-CAP0720-L"/>
        <s v="NoPAMS-CAP0700-L"/>
        <s v="NoPAMS-CAP0700-IRP"/>
        <s v="NoPAMS-CAP0700-IRPN"/>
        <s v="NoPAMS-CAP0675-L"/>
        <s v="NoPAMS-CAP0650-L"/>
        <s v="NoPAMS-CAP0625-L"/>
        <s v="NoPAMS-CAP0600-L"/>
        <s v="NoPAMS-CAP0575-L"/>
        <s v="NoPAMS-MRE-LEAF"/>
        <s v="NoPAMS-MRE-LEAF-TrGr"/>
        <s v="NoPAMS-RE-LEAF"/>
        <s v="NoPAMS-RE-LEAF-TrGr"/>
        <s v="CPAMS-NoIRP-LEAF"/>
        <s v="CPAMS-MRE-LEAF"/>
        <s v="CPAMS-NoIRP-LEAF-TrGr"/>
        <s v="CPAMS-MRE-LEAF-TrGr"/>
        <s v="CPAMS-RE-LEAF-TrGr"/>
        <s v="CPAMS-CAP10"/>
        <s v="CPAMS-CAP09"/>
        <s v="CPAMS-CAP08"/>
        <s v="CPAMS-CAP07"/>
        <s v="CPAMS-CAP06"/>
        <s v="CPAMS-CAP1000-L"/>
        <s v="CPAMS-CAP0900-L"/>
        <s v="CPAMS-CAP0800-L"/>
        <s v="CPAMS-CAP0750-L"/>
        <s v="CPAMS-CAP0750-IRP"/>
        <s v="CPAMS-CAP0750-IRPN"/>
        <s v="CPAMS-CAP0735-L"/>
        <s v="CPAMS-CAP0700-L"/>
        <s v="CPAMS-CAP0700-IRP"/>
        <s v="CPAMS-CAP0700-IRPN"/>
        <s v="CPAMS-CAP0675-L"/>
        <s v="CPAMS-CAP0650-L"/>
        <s v="CPAMS-CAP0650-IRP"/>
        <s v="CPAMS-CAP0650-IRPN"/>
        <s v="CPAMS-CAP0625-L"/>
        <s v="CPAMS-CAP0600-L"/>
        <s v="CPAMS-CAP0600-IRP"/>
        <s v="CPAMS-CAP0575-L"/>
        <s v="NoPAMS-RR"/>
        <s v="NZ-REF-L"/>
        <s v="NZ-REF-L-OC"/>
        <s v="NZ-REF-L-FC"/>
        <s v="NZ-REF-L-FCOC"/>
        <s v="NZ-REF"/>
        <s v="CO2ACAP350"/>
        <s v="CO2ACAP280"/>
        <s v="Reference"/>
        <s v="ForcedCoal"/>
        <s v="Reference-HiExt"/>
        <s v="ForcedCoal-HiExt"/>
        <s v="Reference-OptRE"/>
        <s v="ForcedCoal-OptRE"/>
        <s v="Reference-L"/>
        <s v="ForcedCoal-L"/>
        <s v="ReferenceIRP"/>
        <s v="ForcedCoalIRP"/>
        <s v="ReferenceIRPNER"/>
        <s v="ForcedCoalIRPNER"/>
        <s v="Reference350"/>
        <s v="ForcedCoal350"/>
        <s v="ReferencePAMS350"/>
        <s v="ForcedCoalPAMS350"/>
        <s v="ReferencePAMS350NER"/>
        <s v="ForcedCoalPAMS350NER"/>
        <s v="NZ-CO2S2050"/>
        <s v="IRPRE"/>
        <s v="IRPRE-01P"/>
        <s v="IRPRE-05P"/>
        <s v="IRPRE-10P"/>
        <s v="IRPRE-25P"/>
        <s v="IRPRE-50P"/>
        <s v="OPT"/>
        <s v="OPT-01P"/>
        <s v="OPT-05P"/>
        <s v="OPT-10P"/>
        <s v="OPT-25P"/>
        <s v="OPT-50P"/>
        <s v="NoPAMS_Fnuc"/>
        <s v="ScenarioA"/>
        <s v="ScenarioAIRPL"/>
        <s v="ScenarioBGrad"/>
        <s v="ScenarioBSteep"/>
        <s v="ScenarioBLast3"/>
        <s v="ScenarioCGrad"/>
        <s v="ScenarioCSteep"/>
        <s v="ScenarioCLast3"/>
        <s v="NoPAMS_Fnuc-LEAF"/>
        <s v="NoPAMS_Fnuc-LEAF-TrGr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1"/>
    </cacheField>
    <cacheField name="Link to CGE?" numFmtId="0">
      <sharedItems containsString="0" containsBlank="1" containsNumber="1" containsInteger="1" minValue="0" maxValue="1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1" maxValue="1"/>
    </cacheField>
    <cacheField name="Link to AFOLU?" numFmtId="0">
      <sharedItems containsString="0" containsBlank="1" containsNumber="1" containsInteger="1" minValue="1" maxValue="1"/>
    </cacheField>
    <cacheField name="PAMS_RES" numFmtId="0">
      <sharedItems containsString="0" containsBlank="1" containsNumber="1" containsInteger="1" minValue="-1" maxValue="2"/>
    </cacheField>
    <cacheField name="PAMS_COM" numFmtId="0">
      <sharedItems containsString="0" containsBlank="1" containsNumber="1" containsInteger="1" minValue="-1" maxValue="2"/>
    </cacheField>
    <cacheField name="PAMS_TRA" numFmtId="0">
      <sharedItems containsString="0" containsBlank="1" containsNumber="1" containsInteger="1" minValue="-1" maxValue="3"/>
    </cacheField>
    <cacheField name="PAMS_WASTE" numFmtId="0">
      <sharedItems containsString="0" containsBlank="1" containsNumber="1" containsInteger="1" minValue="1" maxValue="3"/>
    </cacheField>
    <cacheField name="PAMS_AFOLU" numFmtId="0">
      <sharedItems containsString="0" containsBlank="1" containsNumber="1" containsInteger="1" minValue="-1" maxValue="3"/>
    </cacheField>
    <cacheField name="CO2 CumCap" numFmtId="0">
      <sharedItems containsString="0" containsBlank="1" containsNumber="1" minValue="5.75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0"/>
    <x v="0"/>
    <s v="yes tested"/>
    <x v="0"/>
    <x v="0"/>
    <n v="1"/>
    <n v="1"/>
    <s v="No Pams"/>
    <n v="1"/>
    <n v="1"/>
    <n v="-1"/>
    <n v="-1"/>
    <n v="-1"/>
    <n v="1"/>
    <n v="-1"/>
    <n v="100"/>
  </r>
  <r>
    <n v="0"/>
    <x v="1"/>
    <s v="yes tested"/>
    <x v="0"/>
    <x v="1"/>
    <n v="1"/>
    <n v="1"/>
    <s v="Base Pams"/>
    <n v="1"/>
    <n v="1"/>
    <n v="2"/>
    <n v="2"/>
    <n v="1"/>
    <n v="2"/>
    <n v="1"/>
    <n v="100"/>
  </r>
  <r>
    <n v="0"/>
    <x v="2"/>
    <s v="yes tested"/>
    <x v="0"/>
    <x v="2"/>
    <n v="1"/>
    <n v="1"/>
    <s v="No Pams"/>
    <n v="1"/>
    <n v="1"/>
    <n v="-1"/>
    <n v="-1"/>
    <n v="-1"/>
    <n v="1"/>
    <n v="-1"/>
    <n v="100"/>
  </r>
  <r>
    <n v="0"/>
    <x v="3"/>
    <s v="yes tested"/>
    <x v="0"/>
    <x v="3"/>
    <n v="1"/>
    <n v="1"/>
    <s v="Base Pams"/>
    <n v="1"/>
    <n v="1"/>
    <n v="2"/>
    <n v="2"/>
    <n v="-1"/>
    <n v="2"/>
    <n v="1"/>
    <n v="100"/>
  </r>
  <r>
    <n v="0"/>
    <x v="4"/>
    <s v="yes tested"/>
    <x v="0"/>
    <x v="4"/>
    <n v="1"/>
    <n v="1"/>
    <s v="Lim Pams"/>
    <n v="1"/>
    <n v="1"/>
    <n v="2"/>
    <n v="2"/>
    <n v="2"/>
    <n v="1"/>
    <n v="2"/>
    <m/>
  </r>
  <r>
    <n v="0"/>
    <x v="5"/>
    <s v="yes tested"/>
    <x v="0"/>
    <x v="5"/>
    <n v="1"/>
    <n v="1"/>
    <s v="Base Pams"/>
    <n v="1"/>
    <n v="1"/>
    <n v="2"/>
    <n v="2"/>
    <n v="1"/>
    <n v="2"/>
    <n v="1"/>
    <n v="100"/>
  </r>
  <r>
    <n v="0"/>
    <x v="6"/>
    <s v="yes tested"/>
    <x v="0"/>
    <x v="6"/>
    <n v="1"/>
    <n v="1"/>
    <s v="Base Pams"/>
    <n v="1"/>
    <n v="1"/>
    <n v="2"/>
    <n v="2"/>
    <n v="1"/>
    <n v="2"/>
    <n v="1"/>
    <m/>
  </r>
  <r>
    <n v="0"/>
    <x v="7"/>
    <s v="yes tested"/>
    <x v="0"/>
    <x v="7"/>
    <n v="1"/>
    <n v="1"/>
    <s v="Base Pams"/>
    <n v="1"/>
    <n v="1"/>
    <n v="2"/>
    <n v="2"/>
    <n v="1"/>
    <n v="2"/>
    <n v="1"/>
    <m/>
  </r>
  <r>
    <n v="0"/>
    <x v="8"/>
    <s v="yes tested"/>
    <x v="0"/>
    <x v="8"/>
    <n v="1"/>
    <n v="1"/>
    <s v="Base Pams"/>
    <n v="1"/>
    <n v="1"/>
    <n v="2"/>
    <n v="2"/>
    <n v="1"/>
    <n v="2"/>
    <n v="1"/>
    <n v="100"/>
  </r>
  <r>
    <n v="0"/>
    <x v="9"/>
    <s v="yes tested"/>
    <x v="0"/>
    <x v="9"/>
    <n v="1"/>
    <n v="1"/>
    <s v="Base Pams"/>
    <n v="1"/>
    <n v="1"/>
    <n v="2"/>
    <n v="2"/>
    <n v="1"/>
    <n v="2"/>
    <n v="1"/>
    <n v="100"/>
  </r>
  <r>
    <n v="0"/>
    <x v="10"/>
    <s v="yes tested"/>
    <x v="0"/>
    <x v="10"/>
    <n v="1"/>
    <n v="1"/>
    <s v="Base Pams"/>
    <n v="1"/>
    <n v="1"/>
    <n v="2"/>
    <n v="2"/>
    <n v="1"/>
    <n v="2"/>
    <n v="1"/>
    <n v="100"/>
  </r>
  <r>
    <n v="0"/>
    <x v="11"/>
    <s v="yes tested"/>
    <x v="1"/>
    <x v="8"/>
    <n v="1"/>
    <n v="1"/>
    <s v="Base Pams"/>
    <n v="1"/>
    <n v="1"/>
    <n v="2"/>
    <n v="2"/>
    <n v="1"/>
    <n v="2"/>
    <n v="1"/>
    <n v="100"/>
  </r>
  <r>
    <n v="0"/>
    <x v="12"/>
    <s v="yes tested"/>
    <x v="1"/>
    <x v="9"/>
    <n v="1"/>
    <n v="1"/>
    <s v="Base Pams"/>
    <n v="1"/>
    <n v="1"/>
    <n v="2"/>
    <n v="2"/>
    <n v="1"/>
    <n v="2"/>
    <n v="1"/>
    <n v="100"/>
  </r>
  <r>
    <n v="0"/>
    <x v="13"/>
    <s v="yes tested"/>
    <x v="1"/>
    <x v="10"/>
    <n v="1"/>
    <n v="1"/>
    <s v="Base Pams"/>
    <n v="1"/>
    <n v="1"/>
    <n v="2"/>
    <n v="2"/>
    <n v="1"/>
    <n v="2"/>
    <n v="1"/>
    <n v="100"/>
  </r>
  <r>
    <n v="0"/>
    <x v="14"/>
    <s v="yes tested"/>
    <x v="0"/>
    <x v="11"/>
    <n v="1"/>
    <n v="1"/>
    <s v="Ambitious Pams"/>
    <n v="1"/>
    <n v="1"/>
    <n v="1"/>
    <n v="1"/>
    <n v="3"/>
    <n v="3"/>
    <n v="3"/>
    <m/>
  </r>
  <r>
    <n v="0"/>
    <x v="15"/>
    <s v="yes tested"/>
    <x v="0"/>
    <x v="12"/>
    <n v="1"/>
    <n v="0"/>
    <s v="No Pams"/>
    <n v="1"/>
    <n v="1"/>
    <n v="-1"/>
    <n v="-1"/>
    <n v="-1"/>
    <n v="1"/>
    <n v="-1"/>
    <m/>
  </r>
  <r>
    <n v="0"/>
    <x v="16"/>
    <s v="yes tested"/>
    <x v="0"/>
    <x v="13"/>
    <n v="1"/>
    <n v="0"/>
    <s v="Base Pams"/>
    <n v="1"/>
    <n v="1"/>
    <n v="2"/>
    <n v="2"/>
    <n v="1"/>
    <n v="2"/>
    <n v="1"/>
    <m/>
  </r>
  <r>
    <n v="0"/>
    <x v="17"/>
    <s v="yes tested"/>
    <x v="0"/>
    <x v="14"/>
    <n v="1"/>
    <n v="1"/>
    <s v="No Pams"/>
    <n v="1"/>
    <n v="1"/>
    <n v="-1"/>
    <n v="-1"/>
    <n v="-1"/>
    <n v="1"/>
    <n v="-1"/>
    <m/>
  </r>
  <r>
    <n v="0"/>
    <x v="18"/>
    <s v="yes tested"/>
    <x v="0"/>
    <x v="15"/>
    <n v="1"/>
    <n v="1"/>
    <s v="Base Pams"/>
    <n v="1"/>
    <n v="1"/>
    <n v="2"/>
    <n v="2"/>
    <n v="1"/>
    <n v="2"/>
    <n v="1"/>
    <m/>
  </r>
  <r>
    <n v="0"/>
    <x v="19"/>
    <s v="yes tested"/>
    <x v="0"/>
    <x v="16"/>
    <n v="1"/>
    <n v="1"/>
    <s v="Base Pams"/>
    <n v="1"/>
    <n v="1"/>
    <n v="2"/>
    <n v="2"/>
    <n v="1"/>
    <n v="2"/>
    <n v="1"/>
    <m/>
  </r>
  <r>
    <n v="0"/>
    <x v="20"/>
    <s v="yes tested"/>
    <x v="1"/>
    <x v="17"/>
    <n v="1"/>
    <n v="1"/>
    <s v="Base Pams"/>
    <n v="1"/>
    <n v="1"/>
    <n v="2"/>
    <n v="2"/>
    <n v="1"/>
    <n v="2"/>
    <n v="1"/>
    <m/>
  </r>
  <r>
    <n v="0"/>
    <x v="21"/>
    <s v="yes tested"/>
    <x v="1"/>
    <x v="18"/>
    <n v="1"/>
    <n v="1"/>
    <s v="Base Pams"/>
    <n v="1"/>
    <n v="1"/>
    <n v="2"/>
    <n v="2"/>
    <n v="1"/>
    <n v="2"/>
    <n v="1"/>
    <m/>
  </r>
  <r>
    <n v="0"/>
    <x v="22"/>
    <s v="yes tested"/>
    <x v="1"/>
    <x v="19"/>
    <n v="1"/>
    <n v="1"/>
    <s v="Base Pams"/>
    <n v="1"/>
    <n v="1"/>
    <n v="2"/>
    <n v="2"/>
    <n v="1"/>
    <n v="2"/>
    <n v="1"/>
    <m/>
  </r>
  <r>
    <n v="0"/>
    <x v="23"/>
    <s v="yes tested"/>
    <x v="1"/>
    <x v="20"/>
    <n v="1"/>
    <n v="1"/>
    <s v="Lim Pams"/>
    <n v="1"/>
    <n v="1"/>
    <n v="2"/>
    <n v="2"/>
    <n v="2"/>
    <n v="1"/>
    <n v="2"/>
    <m/>
  </r>
  <r>
    <n v="0"/>
    <x v="24"/>
    <s v="yes tested"/>
    <x v="1"/>
    <x v="21"/>
    <n v="1"/>
    <n v="1"/>
    <s v="No Pams"/>
    <n v="1"/>
    <n v="1"/>
    <n v="-1"/>
    <n v="-1"/>
    <n v="-1"/>
    <n v="1"/>
    <n v="-1"/>
    <m/>
  </r>
  <r>
    <n v="0"/>
    <x v="25"/>
    <s v="yes tested"/>
    <x v="1"/>
    <x v="0"/>
    <n v="1"/>
    <n v="1"/>
    <s v="No Pams"/>
    <n v="1"/>
    <n v="1"/>
    <n v="-1"/>
    <n v="-1"/>
    <n v="-1"/>
    <n v="1"/>
    <n v="-1"/>
    <n v="100"/>
  </r>
  <r>
    <n v="0"/>
    <x v="26"/>
    <s v="yes tested"/>
    <x v="1"/>
    <x v="1"/>
    <n v="1"/>
    <n v="1"/>
    <s v="No Pams"/>
    <n v="1"/>
    <n v="1"/>
    <n v="-1"/>
    <n v="-1"/>
    <n v="-1"/>
    <n v="1"/>
    <n v="-1"/>
    <n v="100"/>
  </r>
  <r>
    <n v="0"/>
    <x v="27"/>
    <s v="yes tested"/>
    <x v="1"/>
    <x v="22"/>
    <n v="1"/>
    <n v="1"/>
    <s v="No Pams"/>
    <n v="1"/>
    <n v="1"/>
    <n v="-1"/>
    <n v="-1"/>
    <n v="-1"/>
    <n v="1"/>
    <n v="-1"/>
    <n v="100"/>
  </r>
  <r>
    <n v="0"/>
    <x v="28"/>
    <s v="yes tested"/>
    <x v="1"/>
    <x v="2"/>
    <n v="1"/>
    <n v="1"/>
    <s v="No Pams"/>
    <n v="1"/>
    <n v="1"/>
    <n v="-1"/>
    <n v="-1"/>
    <n v="-1"/>
    <n v="1"/>
    <n v="-1"/>
    <n v="100"/>
  </r>
  <r>
    <n v="0"/>
    <x v="29"/>
    <s v="yes tested"/>
    <x v="1"/>
    <x v="0"/>
    <n v="1"/>
    <n v="1"/>
    <s v="No Pams"/>
    <n v="1"/>
    <n v="1"/>
    <n v="-1"/>
    <n v="-1"/>
    <n v="-1"/>
    <n v="1"/>
    <n v="-1"/>
    <n v="8"/>
  </r>
  <r>
    <n v="0"/>
    <x v="30"/>
    <s v="yes tested"/>
    <x v="1"/>
    <x v="0"/>
    <n v="1"/>
    <n v="1"/>
    <s v="No Pams"/>
    <n v="1"/>
    <n v="1"/>
    <n v="-1"/>
    <n v="-1"/>
    <n v="-1"/>
    <n v="1"/>
    <n v="-1"/>
    <n v="7.5"/>
  </r>
  <r>
    <n v="0"/>
    <x v="31"/>
    <s v="yes tested"/>
    <x v="1"/>
    <x v="0"/>
    <n v="1"/>
    <n v="1"/>
    <s v="No Pams"/>
    <n v="1"/>
    <n v="1"/>
    <n v="-1"/>
    <n v="-1"/>
    <n v="-1"/>
    <n v="1"/>
    <n v="-1"/>
    <n v="7.2"/>
  </r>
  <r>
    <n v="0"/>
    <x v="32"/>
    <s v="yes tested"/>
    <x v="1"/>
    <x v="0"/>
    <n v="1"/>
    <n v="1"/>
    <s v="No Pams"/>
    <n v="1"/>
    <n v="1"/>
    <n v="-1"/>
    <n v="-1"/>
    <n v="-1"/>
    <n v="1"/>
    <n v="-1"/>
    <n v="7"/>
  </r>
  <r>
    <n v="0"/>
    <x v="33"/>
    <s v="yes tested"/>
    <x v="1"/>
    <x v="1"/>
    <n v="1"/>
    <n v="1"/>
    <s v="No Pams"/>
    <n v="1"/>
    <n v="1"/>
    <n v="-1"/>
    <n v="-1"/>
    <n v="-1"/>
    <n v="1"/>
    <n v="-1"/>
    <n v="7"/>
  </r>
  <r>
    <n v="0"/>
    <x v="34"/>
    <s v="yes tested"/>
    <x v="1"/>
    <x v="22"/>
    <n v="1"/>
    <n v="1"/>
    <s v="No Pams"/>
    <n v="1"/>
    <n v="1"/>
    <n v="-1"/>
    <n v="-1"/>
    <n v="-1"/>
    <n v="1"/>
    <n v="-1"/>
    <n v="7"/>
  </r>
  <r>
    <n v="0"/>
    <x v="35"/>
    <s v="yes tested"/>
    <x v="1"/>
    <x v="0"/>
    <n v="1"/>
    <n v="1"/>
    <s v="No Pams"/>
    <n v="1"/>
    <n v="1"/>
    <n v="-1"/>
    <n v="-1"/>
    <n v="-1"/>
    <n v="1"/>
    <n v="-1"/>
    <n v="6.5"/>
  </r>
  <r>
    <n v="0"/>
    <x v="36"/>
    <s v="yes tested"/>
    <x v="1"/>
    <x v="0"/>
    <n v="1"/>
    <n v="1"/>
    <s v="No Pams"/>
    <n v="1"/>
    <n v="1"/>
    <n v="-1"/>
    <n v="-1"/>
    <n v="-1"/>
    <n v="1"/>
    <n v="-1"/>
    <n v="6"/>
  </r>
  <r>
    <n v="0"/>
    <x v="37"/>
    <s v="yes tested"/>
    <x v="1"/>
    <x v="14"/>
    <n v="1"/>
    <n v="1"/>
    <s v="No Pams"/>
    <n v="1"/>
    <n v="1"/>
    <n v="-1"/>
    <n v="-1"/>
    <n v="-1"/>
    <n v="1"/>
    <n v="-1"/>
    <m/>
  </r>
  <r>
    <n v="0"/>
    <x v="38"/>
    <s v="yes tested"/>
    <x v="1"/>
    <x v="5"/>
    <n v="1"/>
    <n v="1"/>
    <s v="Base Pams"/>
    <n v="1"/>
    <n v="1"/>
    <n v="2"/>
    <n v="2"/>
    <n v="1"/>
    <n v="2"/>
    <n v="1"/>
    <n v="8"/>
  </r>
  <r>
    <n v="0"/>
    <x v="39"/>
    <s v="yes tested"/>
    <x v="1"/>
    <x v="5"/>
    <n v="1"/>
    <n v="1"/>
    <s v="Base Pams"/>
    <n v="1"/>
    <n v="1"/>
    <n v="2"/>
    <n v="2"/>
    <n v="1"/>
    <n v="2"/>
    <n v="1"/>
    <n v="7.5"/>
  </r>
  <r>
    <n v="0"/>
    <x v="40"/>
    <s v="yes tested"/>
    <x v="1"/>
    <x v="8"/>
    <n v="1"/>
    <n v="1"/>
    <s v="Base Pams"/>
    <n v="1"/>
    <n v="1"/>
    <n v="2"/>
    <n v="2"/>
    <n v="1"/>
    <n v="2"/>
    <n v="1"/>
    <n v="7.5"/>
  </r>
  <r>
    <n v="0"/>
    <x v="41"/>
    <s v="yes tested"/>
    <x v="1"/>
    <x v="9"/>
    <n v="1"/>
    <n v="1"/>
    <s v="Base Pams"/>
    <n v="1"/>
    <n v="1"/>
    <n v="2"/>
    <n v="2"/>
    <n v="1"/>
    <n v="2"/>
    <n v="1"/>
    <n v="7.5"/>
  </r>
  <r>
    <n v="0"/>
    <x v="42"/>
    <s v="yes tested"/>
    <x v="1"/>
    <x v="5"/>
    <n v="1"/>
    <n v="1"/>
    <s v="Base Pams"/>
    <n v="1"/>
    <n v="1"/>
    <n v="2"/>
    <n v="2"/>
    <n v="1"/>
    <n v="2"/>
    <n v="1"/>
    <n v="7.2"/>
  </r>
  <r>
    <n v="0"/>
    <x v="43"/>
    <s v="yes tested"/>
    <x v="1"/>
    <x v="8"/>
    <n v="1"/>
    <n v="1"/>
    <s v="Base Pams"/>
    <n v="1"/>
    <n v="1"/>
    <n v="2"/>
    <n v="2"/>
    <n v="1"/>
    <n v="2"/>
    <n v="1"/>
    <n v="7.2"/>
  </r>
  <r>
    <n v="0"/>
    <x v="44"/>
    <s v="yes tested"/>
    <x v="1"/>
    <x v="9"/>
    <n v="1"/>
    <n v="1"/>
    <s v="Base Pams"/>
    <n v="1"/>
    <n v="1"/>
    <n v="2"/>
    <n v="2"/>
    <n v="1"/>
    <n v="2"/>
    <n v="1"/>
    <n v="7.2"/>
  </r>
  <r>
    <n v="0"/>
    <x v="45"/>
    <s v="yes tested"/>
    <x v="1"/>
    <x v="5"/>
    <n v="1"/>
    <n v="1"/>
    <s v="Base Pams"/>
    <n v="1"/>
    <n v="1"/>
    <n v="2"/>
    <n v="2"/>
    <n v="1"/>
    <n v="2"/>
    <n v="1"/>
    <n v="7"/>
  </r>
  <r>
    <n v="0"/>
    <x v="46"/>
    <s v="yes tested"/>
    <x v="1"/>
    <x v="8"/>
    <n v="1"/>
    <n v="1"/>
    <s v="Base Pams"/>
    <n v="1"/>
    <n v="1"/>
    <n v="2"/>
    <n v="2"/>
    <n v="1"/>
    <n v="2"/>
    <n v="1"/>
    <n v="7"/>
  </r>
  <r>
    <n v="0"/>
    <x v="47"/>
    <s v="yes tested"/>
    <x v="1"/>
    <x v="9"/>
    <n v="1"/>
    <n v="1"/>
    <s v="Base Pams"/>
    <n v="1"/>
    <n v="1"/>
    <n v="2"/>
    <n v="2"/>
    <n v="1"/>
    <n v="2"/>
    <n v="1"/>
    <n v="7"/>
  </r>
  <r>
    <n v="0"/>
    <x v="48"/>
    <s v="yes tested"/>
    <x v="1"/>
    <x v="10"/>
    <n v="1"/>
    <n v="1"/>
    <s v="Base Pams"/>
    <n v="1"/>
    <n v="1"/>
    <n v="2"/>
    <n v="2"/>
    <n v="1"/>
    <n v="2"/>
    <n v="1"/>
    <n v="7"/>
  </r>
  <r>
    <n v="0"/>
    <x v="49"/>
    <s v="yes tested"/>
    <x v="1"/>
    <x v="5"/>
    <n v="1"/>
    <n v="1"/>
    <s v="Base Pams"/>
    <n v="1"/>
    <n v="1"/>
    <n v="2"/>
    <n v="2"/>
    <n v="1"/>
    <n v="2"/>
    <n v="1"/>
    <n v="6.5"/>
  </r>
  <r>
    <n v="0"/>
    <x v="50"/>
    <s v="yes tested"/>
    <x v="1"/>
    <x v="8"/>
    <n v="1"/>
    <n v="1"/>
    <s v="Base Pams"/>
    <n v="1"/>
    <n v="1"/>
    <n v="2"/>
    <n v="2"/>
    <n v="1"/>
    <n v="2"/>
    <n v="1"/>
    <n v="6.5"/>
  </r>
  <r>
    <n v="0"/>
    <x v="51"/>
    <s v="yes tested"/>
    <x v="1"/>
    <x v="9"/>
    <n v="1"/>
    <n v="1"/>
    <s v="Base Pams"/>
    <n v="1"/>
    <n v="1"/>
    <n v="2"/>
    <n v="2"/>
    <n v="1"/>
    <n v="2"/>
    <n v="1"/>
    <n v="6.5"/>
  </r>
  <r>
    <n v="0"/>
    <x v="52"/>
    <s v="yes tested"/>
    <x v="1"/>
    <x v="5"/>
    <n v="1"/>
    <n v="1"/>
    <s v="Base Pams"/>
    <n v="1"/>
    <n v="1"/>
    <n v="2"/>
    <n v="2"/>
    <n v="1"/>
    <n v="2"/>
    <n v="1"/>
    <n v="6"/>
  </r>
  <r>
    <n v="0"/>
    <x v="53"/>
    <s v="yes tested"/>
    <x v="1"/>
    <x v="8"/>
    <n v="1"/>
    <n v="1"/>
    <s v="Base Pams"/>
    <n v="1"/>
    <n v="1"/>
    <n v="2"/>
    <n v="2"/>
    <n v="1"/>
    <n v="2"/>
    <n v="1"/>
    <n v="6"/>
  </r>
  <r>
    <n v="0"/>
    <x v="54"/>
    <s v="yes tested"/>
    <x v="1"/>
    <x v="15"/>
    <n v="1"/>
    <n v="1"/>
    <s v="Base Pams"/>
    <n v="1"/>
    <n v="1"/>
    <n v="2"/>
    <n v="2"/>
    <n v="1"/>
    <n v="2"/>
    <n v="1"/>
    <m/>
  </r>
  <r>
    <n v="0"/>
    <x v="55"/>
    <s v="yes tested"/>
    <x v="0"/>
    <x v="23"/>
    <n v="1"/>
    <n v="1"/>
    <s v="No Pams"/>
    <n v="1"/>
    <n v="1"/>
    <n v="-1"/>
    <n v="-1"/>
    <n v="-1"/>
    <n v="1"/>
    <n v="-1"/>
    <m/>
  </r>
  <r>
    <n v="0"/>
    <x v="56"/>
    <s v="yes tested"/>
    <x v="0"/>
    <x v="0"/>
    <n v="1"/>
    <n v="1"/>
    <s v="No Pams"/>
    <n v="1"/>
    <n v="1"/>
    <n v="-1"/>
    <n v="-1"/>
    <n v="-1"/>
    <n v="1"/>
    <n v="-1"/>
    <n v="10"/>
  </r>
  <r>
    <n v="0"/>
    <x v="57"/>
    <s v="yes tested"/>
    <x v="0"/>
    <x v="0"/>
    <n v="1"/>
    <n v="1"/>
    <s v="No Pams"/>
    <n v="1"/>
    <n v="1"/>
    <n v="-1"/>
    <n v="-1"/>
    <n v="-1"/>
    <n v="1"/>
    <n v="-1"/>
    <n v="9"/>
  </r>
  <r>
    <n v="0"/>
    <x v="58"/>
    <s v="yes tested"/>
    <x v="0"/>
    <x v="0"/>
    <n v="1"/>
    <n v="1"/>
    <s v="No Pams"/>
    <n v="1"/>
    <n v="1"/>
    <n v="-1"/>
    <n v="-1"/>
    <n v="-1"/>
    <n v="1"/>
    <n v="-1"/>
    <n v="8"/>
  </r>
  <r>
    <n v="0"/>
    <x v="59"/>
    <s v="yes tested"/>
    <x v="0"/>
    <x v="0"/>
    <n v="1"/>
    <n v="1"/>
    <s v="No Pams"/>
    <n v="1"/>
    <n v="1"/>
    <n v="-1"/>
    <n v="-1"/>
    <n v="-1"/>
    <n v="1"/>
    <n v="-1"/>
    <n v="7.5"/>
  </r>
  <r>
    <n v="0"/>
    <x v="60"/>
    <s v="yes tested"/>
    <x v="0"/>
    <x v="0"/>
    <n v="1"/>
    <n v="1"/>
    <s v="No Pams"/>
    <n v="1"/>
    <n v="1"/>
    <n v="-1"/>
    <n v="-1"/>
    <n v="-1"/>
    <n v="1"/>
    <n v="-1"/>
    <n v="7.35"/>
  </r>
  <r>
    <n v="0"/>
    <x v="61"/>
    <s v="yes tested"/>
    <x v="0"/>
    <x v="0"/>
    <n v="1"/>
    <n v="1"/>
    <s v="No Pams"/>
    <n v="1"/>
    <n v="1"/>
    <n v="-1"/>
    <n v="-1"/>
    <n v="-1"/>
    <n v="1"/>
    <n v="-1"/>
    <n v="7.2"/>
  </r>
  <r>
    <n v="0"/>
    <x v="62"/>
    <s v="yes tested"/>
    <x v="0"/>
    <x v="0"/>
    <n v="1"/>
    <n v="1"/>
    <s v="No Pams"/>
    <n v="1"/>
    <n v="1"/>
    <n v="-1"/>
    <n v="-1"/>
    <n v="-1"/>
    <n v="1"/>
    <n v="-1"/>
    <n v="7"/>
  </r>
  <r>
    <n v="0"/>
    <x v="63"/>
    <s v="yes tested"/>
    <x v="0"/>
    <x v="1"/>
    <n v="1"/>
    <n v="1"/>
    <s v="No Pams"/>
    <n v="1"/>
    <n v="1"/>
    <n v="-1"/>
    <n v="-1"/>
    <n v="-1"/>
    <n v="1"/>
    <n v="-1"/>
    <n v="7"/>
  </r>
  <r>
    <n v="0"/>
    <x v="64"/>
    <s v="yes tested"/>
    <x v="0"/>
    <x v="22"/>
    <n v="1"/>
    <n v="1"/>
    <s v="No Pams"/>
    <n v="1"/>
    <n v="1"/>
    <n v="-1"/>
    <n v="-1"/>
    <n v="-1"/>
    <n v="1"/>
    <n v="-1"/>
    <n v="7"/>
  </r>
  <r>
    <n v="0"/>
    <x v="65"/>
    <s v="yes tested"/>
    <x v="0"/>
    <x v="0"/>
    <n v="1"/>
    <n v="1"/>
    <s v="No Pams"/>
    <n v="1"/>
    <n v="1"/>
    <n v="-1"/>
    <n v="-1"/>
    <n v="-1"/>
    <n v="1"/>
    <n v="-1"/>
    <n v="6.75"/>
  </r>
  <r>
    <n v="0"/>
    <x v="66"/>
    <s v="yes tested"/>
    <x v="0"/>
    <x v="0"/>
    <n v="1"/>
    <n v="1"/>
    <s v="No Pams"/>
    <n v="1"/>
    <n v="1"/>
    <n v="-1"/>
    <n v="-1"/>
    <n v="-1"/>
    <n v="1"/>
    <n v="-1"/>
    <n v="6.5"/>
  </r>
  <r>
    <n v="0"/>
    <x v="67"/>
    <s v="yes tested"/>
    <x v="0"/>
    <x v="0"/>
    <n v="1"/>
    <n v="1"/>
    <s v="No Pams"/>
    <n v="1"/>
    <n v="1"/>
    <n v="-1"/>
    <n v="-1"/>
    <n v="-1"/>
    <n v="1"/>
    <n v="-1"/>
    <n v="6.25"/>
  </r>
  <r>
    <n v="0"/>
    <x v="68"/>
    <s v="yes tested"/>
    <x v="0"/>
    <x v="0"/>
    <n v="1"/>
    <n v="1"/>
    <s v="No Pams"/>
    <n v="1"/>
    <n v="1"/>
    <n v="-1"/>
    <n v="-1"/>
    <n v="-1"/>
    <n v="1"/>
    <n v="-1"/>
    <n v="6"/>
  </r>
  <r>
    <n v="0"/>
    <x v="69"/>
    <s v="yes tested"/>
    <x v="0"/>
    <x v="0"/>
    <n v="1"/>
    <n v="1"/>
    <s v="No Pams"/>
    <n v="1"/>
    <n v="1"/>
    <n v="-1"/>
    <n v="-1"/>
    <n v="-1"/>
    <n v="1"/>
    <n v="-1"/>
    <n v="5.75"/>
  </r>
  <r>
    <n v="0"/>
    <x v="70"/>
    <s v="yes tested"/>
    <x v="0"/>
    <x v="24"/>
    <n v="1"/>
    <n v="1"/>
    <s v="No Pams"/>
    <n v="1"/>
    <n v="1"/>
    <n v="-1"/>
    <n v="-1"/>
    <n v="-1"/>
    <n v="1"/>
    <n v="-1"/>
    <m/>
  </r>
  <r>
    <n v="0"/>
    <x v="71"/>
    <s v="yes tested"/>
    <x v="1"/>
    <x v="24"/>
    <n v="1"/>
    <n v="1"/>
    <s v="No Pams"/>
    <n v="1"/>
    <n v="1"/>
    <n v="-1"/>
    <n v="-1"/>
    <n v="-1"/>
    <n v="1"/>
    <n v="-1"/>
    <m/>
  </r>
  <r>
    <n v="0"/>
    <x v="72"/>
    <s v="yes tested"/>
    <x v="0"/>
    <x v="25"/>
    <n v="1"/>
    <n v="1"/>
    <s v="No Pams"/>
    <n v="1"/>
    <n v="1"/>
    <n v="-1"/>
    <n v="-1"/>
    <n v="-1"/>
    <n v="1"/>
    <n v="-1"/>
    <m/>
  </r>
  <r>
    <n v="0"/>
    <x v="73"/>
    <s v="yes tested"/>
    <x v="1"/>
    <x v="25"/>
    <n v="1"/>
    <n v="1"/>
    <s v="No Pams"/>
    <n v="1"/>
    <n v="1"/>
    <n v="-1"/>
    <n v="-1"/>
    <n v="-1"/>
    <n v="1"/>
    <n v="-1"/>
    <m/>
  </r>
  <r>
    <n v="0"/>
    <x v="74"/>
    <s v="yes tested"/>
    <x v="0"/>
    <x v="26"/>
    <n v="1"/>
    <n v="1"/>
    <s v="Base Pams"/>
    <n v="1"/>
    <n v="1"/>
    <n v="2"/>
    <n v="2"/>
    <n v="1"/>
    <n v="2"/>
    <n v="1"/>
    <m/>
  </r>
  <r>
    <n v="0"/>
    <x v="75"/>
    <s v="yes tested"/>
    <x v="0"/>
    <x v="27"/>
    <n v="1"/>
    <n v="1"/>
    <s v="Base Pams"/>
    <n v="1"/>
    <n v="1"/>
    <n v="2"/>
    <n v="2"/>
    <n v="1"/>
    <n v="2"/>
    <n v="1"/>
    <m/>
  </r>
  <r>
    <n v="0"/>
    <x v="76"/>
    <s v="yes tested"/>
    <x v="1"/>
    <x v="26"/>
    <n v="1"/>
    <n v="1"/>
    <s v="Base Pams"/>
    <n v="1"/>
    <n v="1"/>
    <n v="2"/>
    <n v="2"/>
    <n v="1"/>
    <n v="2"/>
    <n v="1"/>
    <m/>
  </r>
  <r>
    <n v="0"/>
    <x v="77"/>
    <s v="yes tested"/>
    <x v="1"/>
    <x v="27"/>
    <n v="1"/>
    <n v="1"/>
    <s v="Base Pams"/>
    <n v="1"/>
    <n v="1"/>
    <n v="2"/>
    <n v="2"/>
    <n v="1"/>
    <n v="2"/>
    <n v="1"/>
    <m/>
  </r>
  <r>
    <n v="0"/>
    <x v="78"/>
    <s v="yes tested"/>
    <x v="1"/>
    <x v="16"/>
    <n v="1"/>
    <n v="1"/>
    <s v="Base Pams"/>
    <n v="1"/>
    <n v="1"/>
    <n v="2"/>
    <n v="2"/>
    <n v="1"/>
    <n v="2"/>
    <n v="1"/>
    <m/>
  </r>
  <r>
    <n v="0"/>
    <x v="79"/>
    <s v="yes tested"/>
    <x v="0"/>
    <x v="5"/>
    <n v="1"/>
    <n v="0"/>
    <s v="Base Pams"/>
    <n v="1"/>
    <n v="1"/>
    <n v="2"/>
    <n v="2"/>
    <n v="1"/>
    <n v="2"/>
    <n v="1"/>
    <n v="10"/>
  </r>
  <r>
    <n v="0"/>
    <x v="80"/>
    <s v="yes tested"/>
    <x v="0"/>
    <x v="5"/>
    <n v="1"/>
    <n v="0"/>
    <s v="Base Pams"/>
    <n v="1"/>
    <n v="1"/>
    <n v="2"/>
    <n v="2"/>
    <n v="1"/>
    <n v="2"/>
    <n v="1"/>
    <n v="9"/>
  </r>
  <r>
    <n v="0"/>
    <x v="81"/>
    <s v="yes tested"/>
    <x v="0"/>
    <x v="5"/>
    <n v="1"/>
    <n v="0"/>
    <s v="Base Pams"/>
    <n v="1"/>
    <n v="1"/>
    <n v="2"/>
    <n v="2"/>
    <n v="1"/>
    <n v="2"/>
    <n v="1"/>
    <n v="8"/>
  </r>
  <r>
    <n v="0"/>
    <x v="82"/>
    <s v="yes tested"/>
    <x v="0"/>
    <x v="5"/>
    <n v="1"/>
    <n v="0"/>
    <s v="Base Pams"/>
    <n v="1"/>
    <n v="1"/>
    <n v="2"/>
    <n v="2"/>
    <n v="1"/>
    <n v="2"/>
    <n v="1"/>
    <n v="7"/>
  </r>
  <r>
    <n v="0"/>
    <x v="83"/>
    <s v="yes tested"/>
    <x v="0"/>
    <x v="5"/>
    <n v="1"/>
    <n v="0"/>
    <s v="Base Pams"/>
    <n v="1"/>
    <n v="1"/>
    <n v="2"/>
    <n v="2"/>
    <n v="1"/>
    <n v="2"/>
    <n v="1"/>
    <n v="6"/>
  </r>
  <r>
    <n v="0"/>
    <x v="84"/>
    <s v="yes tested"/>
    <x v="0"/>
    <x v="5"/>
    <n v="1"/>
    <n v="1"/>
    <s v="Base Pams"/>
    <n v="1"/>
    <n v="1"/>
    <n v="2"/>
    <n v="2"/>
    <n v="1"/>
    <n v="2"/>
    <n v="1"/>
    <n v="10"/>
  </r>
  <r>
    <n v="0"/>
    <x v="85"/>
    <s v="yes tested"/>
    <x v="0"/>
    <x v="5"/>
    <n v="1"/>
    <n v="1"/>
    <s v="Base Pams"/>
    <n v="1"/>
    <n v="1"/>
    <n v="2"/>
    <n v="2"/>
    <n v="1"/>
    <n v="2"/>
    <n v="1"/>
    <n v="9"/>
  </r>
  <r>
    <n v="0"/>
    <x v="86"/>
    <s v="yes tested"/>
    <x v="0"/>
    <x v="5"/>
    <n v="1"/>
    <n v="1"/>
    <s v="Base Pams"/>
    <n v="1"/>
    <n v="1"/>
    <n v="2"/>
    <n v="2"/>
    <n v="1"/>
    <n v="2"/>
    <n v="1"/>
    <n v="8"/>
  </r>
  <r>
    <n v="0"/>
    <x v="87"/>
    <s v="yes tested"/>
    <x v="0"/>
    <x v="5"/>
    <n v="1"/>
    <n v="1"/>
    <s v="Base Pams"/>
    <n v="1"/>
    <n v="1"/>
    <n v="2"/>
    <n v="2"/>
    <n v="1"/>
    <n v="2"/>
    <n v="1"/>
    <n v="7.5"/>
  </r>
  <r>
    <n v="0"/>
    <x v="88"/>
    <s v="yes tested"/>
    <x v="0"/>
    <x v="8"/>
    <n v="1"/>
    <n v="1"/>
    <s v="Base Pams"/>
    <n v="1"/>
    <n v="1"/>
    <n v="2"/>
    <n v="2"/>
    <n v="1"/>
    <n v="2"/>
    <n v="1"/>
    <n v="7.5"/>
  </r>
  <r>
    <n v="0"/>
    <x v="89"/>
    <s v="yes tested"/>
    <x v="0"/>
    <x v="9"/>
    <n v="1"/>
    <n v="1"/>
    <s v="Base Pams"/>
    <n v="1"/>
    <n v="1"/>
    <n v="2"/>
    <n v="2"/>
    <n v="1"/>
    <n v="2"/>
    <n v="1"/>
    <n v="7.5"/>
  </r>
  <r>
    <n v="0"/>
    <x v="90"/>
    <s v="yes tested"/>
    <x v="0"/>
    <x v="5"/>
    <n v="1"/>
    <n v="1"/>
    <s v="Base Pams"/>
    <n v="1"/>
    <n v="1"/>
    <n v="2"/>
    <n v="2"/>
    <n v="1"/>
    <n v="2"/>
    <n v="1"/>
    <n v="7.35"/>
  </r>
  <r>
    <n v="0"/>
    <x v="91"/>
    <s v="yes tested"/>
    <x v="0"/>
    <x v="5"/>
    <n v="1"/>
    <n v="1"/>
    <s v="Base Pams"/>
    <n v="1"/>
    <n v="1"/>
    <n v="2"/>
    <n v="2"/>
    <n v="1"/>
    <n v="2"/>
    <n v="1"/>
    <n v="7"/>
  </r>
  <r>
    <n v="0"/>
    <x v="92"/>
    <s v="yes tested"/>
    <x v="0"/>
    <x v="8"/>
    <n v="1"/>
    <n v="1"/>
    <s v="Base Pams"/>
    <n v="1"/>
    <n v="1"/>
    <n v="2"/>
    <n v="2"/>
    <n v="1"/>
    <n v="2"/>
    <n v="1"/>
    <n v="7"/>
  </r>
  <r>
    <n v="0"/>
    <x v="93"/>
    <s v="yes tested"/>
    <x v="0"/>
    <x v="9"/>
    <n v="1"/>
    <n v="1"/>
    <s v="Base Pams"/>
    <n v="1"/>
    <n v="1"/>
    <n v="2"/>
    <n v="2"/>
    <n v="1"/>
    <n v="2"/>
    <n v="1"/>
    <n v="7"/>
  </r>
  <r>
    <n v="0"/>
    <x v="94"/>
    <s v="yes tested"/>
    <x v="0"/>
    <x v="5"/>
    <n v="1"/>
    <n v="1"/>
    <s v="Base Pams"/>
    <n v="1"/>
    <n v="1"/>
    <n v="2"/>
    <n v="2"/>
    <n v="1"/>
    <n v="2"/>
    <n v="1"/>
    <n v="6.75"/>
  </r>
  <r>
    <n v="0"/>
    <x v="95"/>
    <s v="yes tested"/>
    <x v="0"/>
    <x v="5"/>
    <n v="1"/>
    <n v="1"/>
    <s v="Base Pams"/>
    <n v="1"/>
    <n v="1"/>
    <n v="2"/>
    <n v="2"/>
    <n v="1"/>
    <n v="2"/>
    <n v="1"/>
    <n v="6.5"/>
  </r>
  <r>
    <n v="0"/>
    <x v="96"/>
    <s v="yes tested"/>
    <x v="0"/>
    <x v="8"/>
    <n v="1"/>
    <n v="1"/>
    <s v="Base Pams"/>
    <n v="1"/>
    <n v="1"/>
    <n v="2"/>
    <n v="2"/>
    <n v="1"/>
    <n v="2"/>
    <n v="1"/>
    <n v="6.5"/>
  </r>
  <r>
    <n v="0"/>
    <x v="97"/>
    <s v="yes tested"/>
    <x v="0"/>
    <x v="9"/>
    <n v="1"/>
    <n v="1"/>
    <s v="Base Pams"/>
    <n v="1"/>
    <n v="1"/>
    <n v="2"/>
    <n v="2"/>
    <n v="1"/>
    <n v="2"/>
    <n v="1"/>
    <n v="6.5"/>
  </r>
  <r>
    <n v="0"/>
    <x v="98"/>
    <s v="yes tested"/>
    <x v="0"/>
    <x v="5"/>
    <n v="1"/>
    <n v="1"/>
    <s v="Base Pams"/>
    <n v="1"/>
    <n v="1"/>
    <n v="2"/>
    <n v="2"/>
    <n v="1"/>
    <n v="2"/>
    <n v="1"/>
    <n v="6.25"/>
  </r>
  <r>
    <n v="0"/>
    <x v="99"/>
    <s v="yes tested"/>
    <x v="0"/>
    <x v="5"/>
    <n v="1"/>
    <n v="1"/>
    <s v="Base Pams"/>
    <n v="1"/>
    <n v="1"/>
    <n v="2"/>
    <n v="2"/>
    <n v="1"/>
    <n v="2"/>
    <n v="1"/>
    <n v="6"/>
  </r>
  <r>
    <n v="0"/>
    <x v="100"/>
    <s v="yes tested"/>
    <x v="0"/>
    <x v="8"/>
    <n v="1"/>
    <n v="1"/>
    <s v="Base Pams"/>
    <n v="1"/>
    <n v="1"/>
    <n v="2"/>
    <n v="2"/>
    <n v="1"/>
    <n v="2"/>
    <n v="1"/>
    <n v="6"/>
  </r>
  <r>
    <n v="0"/>
    <x v="101"/>
    <s v="yes tested"/>
    <x v="0"/>
    <x v="5"/>
    <n v="1"/>
    <n v="1"/>
    <s v="Base Pams"/>
    <n v="1"/>
    <n v="1"/>
    <n v="2"/>
    <n v="2"/>
    <n v="1"/>
    <n v="2"/>
    <n v="1"/>
    <n v="5.75"/>
  </r>
  <r>
    <n v="0"/>
    <x v="102"/>
    <s v="yes tested"/>
    <x v="0"/>
    <x v="28"/>
    <n v="0"/>
    <n v="0"/>
    <s v="No Pams"/>
    <n v="1"/>
    <n v="1"/>
    <n v="-1"/>
    <n v="-1"/>
    <n v="-1"/>
    <n v="1"/>
    <n v="-1"/>
    <m/>
  </r>
  <r>
    <n v="0"/>
    <x v="103"/>
    <s v="yes tested"/>
    <x v="0"/>
    <x v="29"/>
    <n v="0"/>
    <n v="1"/>
    <s v="No Pams"/>
    <n v="1"/>
    <n v="1"/>
    <n v="-1"/>
    <n v="-1"/>
    <n v="-1"/>
    <n v="1"/>
    <n v="1"/>
    <m/>
  </r>
  <r>
    <n v="0"/>
    <x v="104"/>
    <s v="yes tested"/>
    <x v="0"/>
    <x v="30"/>
    <n v="0"/>
    <n v="0"/>
    <s v="No Pams"/>
    <n v="1"/>
    <n v="1"/>
    <n v="-1"/>
    <n v="-1"/>
    <n v="-1"/>
    <n v="1"/>
    <n v="-1"/>
    <m/>
  </r>
  <r>
    <n v="0"/>
    <x v="105"/>
    <s v="yes tested"/>
    <x v="0"/>
    <x v="31"/>
    <n v="1"/>
    <n v="1"/>
    <s v="No Pams"/>
    <n v="1"/>
    <n v="1"/>
    <n v="-1"/>
    <n v="-1"/>
    <n v="-1"/>
    <n v="1"/>
    <n v="-1"/>
    <m/>
  </r>
  <r>
    <n v="0"/>
    <x v="106"/>
    <s v="yes tested"/>
    <x v="0"/>
    <x v="32"/>
    <n v="1"/>
    <n v="1"/>
    <s v="No Pams"/>
    <n v="1"/>
    <n v="1"/>
    <n v="-1"/>
    <n v="-1"/>
    <n v="-1"/>
    <n v="1"/>
    <n v="-1"/>
    <m/>
  </r>
  <r>
    <n v="0"/>
    <x v="107"/>
    <s v="yes tested"/>
    <x v="0"/>
    <x v="29"/>
    <n v="0"/>
    <n v="0"/>
    <s v="No Pams"/>
    <n v="1"/>
    <n v="1"/>
    <n v="-1"/>
    <n v="-1"/>
    <n v="-1"/>
    <n v="1"/>
    <n v="1"/>
    <m/>
  </r>
  <r>
    <n v="0"/>
    <x v="108"/>
    <s v="yes tested"/>
    <x v="0"/>
    <x v="33"/>
    <n v="0"/>
    <n v="0"/>
    <s v="No Pams"/>
    <n v="1"/>
    <n v="1"/>
    <n v="-1"/>
    <n v="-1"/>
    <n v="-1"/>
    <n v="1"/>
    <n v="1"/>
    <m/>
  </r>
  <r>
    <n v="0"/>
    <x v="109"/>
    <s v="yes tested"/>
    <x v="0"/>
    <x v="34"/>
    <n v="0"/>
    <n v="0"/>
    <s v="No Pams"/>
    <n v="1"/>
    <n v="1"/>
    <n v="-1"/>
    <n v="-1"/>
    <n v="-1"/>
    <n v="1"/>
    <n v="1"/>
    <m/>
  </r>
  <r>
    <n v="1"/>
    <x v="110"/>
    <s v="yes tested"/>
    <x v="0"/>
    <x v="0"/>
    <n v="0"/>
    <n v="0"/>
    <s v="No Pams"/>
    <n v="1"/>
    <n v="1"/>
    <n v="-1"/>
    <n v="-1"/>
    <n v="-1"/>
    <n v="1"/>
    <n v="-1"/>
    <n v="99"/>
  </r>
  <r>
    <n v="1"/>
    <x v="111"/>
    <s v="yes tested"/>
    <x v="0"/>
    <x v="35"/>
    <n v="0"/>
    <n v="0"/>
    <s v="No Pams"/>
    <n v="1"/>
    <n v="1"/>
    <n v="-1"/>
    <n v="-1"/>
    <n v="-1"/>
    <n v="1"/>
    <n v="-1"/>
    <n v="99"/>
  </r>
  <r>
    <n v="1"/>
    <x v="112"/>
    <s v="yes tested"/>
    <x v="0"/>
    <x v="36"/>
    <n v="0"/>
    <n v="0"/>
    <s v="No Pams"/>
    <n v="1"/>
    <n v="1"/>
    <n v="-1"/>
    <n v="-1"/>
    <n v="-1"/>
    <n v="1"/>
    <n v="-1"/>
    <n v="99"/>
  </r>
  <r>
    <n v="1"/>
    <x v="113"/>
    <s v="yes tested"/>
    <x v="0"/>
    <x v="37"/>
    <n v="0"/>
    <n v="0"/>
    <s v="No Pams"/>
    <n v="1"/>
    <n v="1"/>
    <n v="-1"/>
    <n v="-1"/>
    <n v="-1"/>
    <n v="1"/>
    <n v="-1"/>
    <n v="99"/>
  </r>
  <r>
    <n v="1"/>
    <x v="114"/>
    <s v="yes tested"/>
    <x v="0"/>
    <x v="38"/>
    <n v="0"/>
    <n v="0"/>
    <s v="No Pams"/>
    <n v="1"/>
    <n v="1"/>
    <n v="-1"/>
    <n v="-1"/>
    <n v="-1"/>
    <n v="1"/>
    <n v="-1"/>
    <n v="99"/>
  </r>
  <r>
    <n v="1"/>
    <x v="115"/>
    <s v="yes tested"/>
    <x v="0"/>
    <x v="39"/>
    <n v="0"/>
    <n v="0"/>
    <s v="No Pams"/>
    <n v="1"/>
    <n v="1"/>
    <n v="-1"/>
    <n v="-1"/>
    <n v="-1"/>
    <n v="1"/>
    <n v="-1"/>
    <n v="99"/>
  </r>
  <r>
    <n v="1"/>
    <x v="116"/>
    <s v="yes tested"/>
    <x v="0"/>
    <x v="0"/>
    <n v="1"/>
    <n v="1"/>
    <s v="No Pams"/>
    <n v="1"/>
    <n v="1"/>
    <n v="-1"/>
    <n v="-1"/>
    <n v="-1"/>
    <n v="1"/>
    <n v="-1"/>
    <n v="99"/>
  </r>
  <r>
    <n v="1"/>
    <x v="117"/>
    <s v="yes tested"/>
    <x v="0"/>
    <x v="35"/>
    <n v="1"/>
    <n v="1"/>
    <s v="No Pams"/>
    <n v="1"/>
    <n v="1"/>
    <n v="-1"/>
    <n v="-1"/>
    <n v="-1"/>
    <n v="1"/>
    <n v="-1"/>
    <n v="99"/>
  </r>
  <r>
    <n v="1"/>
    <x v="118"/>
    <s v="yes tested"/>
    <x v="0"/>
    <x v="2"/>
    <n v="0"/>
    <n v="0"/>
    <s v="No Pams"/>
    <n v="1"/>
    <n v="1"/>
    <n v="-1"/>
    <n v="-1"/>
    <n v="-1"/>
    <n v="1"/>
    <n v="-1"/>
    <n v="99"/>
  </r>
  <r>
    <n v="1"/>
    <x v="119"/>
    <s v="yes tested"/>
    <x v="0"/>
    <x v="40"/>
    <n v="0"/>
    <n v="0"/>
    <s v="No Pams"/>
    <n v="1"/>
    <n v="1"/>
    <n v="-1"/>
    <n v="-1"/>
    <n v="-1"/>
    <n v="1"/>
    <n v="-1"/>
    <n v="99"/>
  </r>
  <r>
    <n v="0"/>
    <x v="120"/>
    <s v="yes tested"/>
    <x v="0"/>
    <x v="2"/>
    <n v="1"/>
    <n v="0"/>
    <s v="No Pams"/>
    <n v="1"/>
    <n v="1"/>
    <n v="-1"/>
    <n v="-1"/>
    <n v="-1"/>
    <n v="1"/>
    <n v="-1"/>
    <n v="99"/>
  </r>
  <r>
    <n v="0"/>
    <x v="121"/>
    <s v="yes tested"/>
    <x v="0"/>
    <x v="40"/>
    <n v="0"/>
    <n v="0"/>
    <s v="No Pams"/>
    <n v="1"/>
    <n v="1"/>
    <n v="-1"/>
    <n v="-1"/>
    <n v="-1"/>
    <n v="1"/>
    <n v="-1"/>
    <n v="99"/>
  </r>
  <r>
    <n v="0"/>
    <x v="122"/>
    <s v="yes tested"/>
    <x v="0"/>
    <x v="0"/>
    <n v="1"/>
    <n v="0"/>
    <s v="No Pams"/>
    <n v="1"/>
    <n v="1"/>
    <n v="-1"/>
    <n v="-1"/>
    <n v="-1"/>
    <n v="1"/>
    <n v="-1"/>
    <n v="7"/>
  </r>
  <r>
    <n v="0"/>
    <x v="123"/>
    <s v="yes tested"/>
    <x v="0"/>
    <x v="35"/>
    <n v="1"/>
    <n v="0"/>
    <s v="No Pams"/>
    <n v="1"/>
    <n v="1"/>
    <n v="-1"/>
    <n v="-1"/>
    <n v="-1"/>
    <n v="1"/>
    <n v="-1"/>
    <n v="7"/>
  </r>
  <r>
    <n v="1"/>
    <x v="124"/>
    <s v="yes tested"/>
    <x v="0"/>
    <x v="5"/>
    <n v="0"/>
    <n v="0"/>
    <s v="No Pams"/>
    <n v="1"/>
    <n v="1"/>
    <n v="-1"/>
    <n v="-1"/>
    <n v="-1"/>
    <n v="1"/>
    <n v="-1"/>
    <n v="7"/>
  </r>
  <r>
    <n v="1"/>
    <x v="125"/>
    <s v="yes tested"/>
    <x v="0"/>
    <x v="41"/>
    <n v="1"/>
    <n v="0"/>
    <s v="No Pams"/>
    <n v="1"/>
    <n v="1"/>
    <n v="-1"/>
    <n v="-1"/>
    <n v="-1"/>
    <n v="1"/>
    <n v="-1"/>
    <n v="7"/>
  </r>
  <r>
    <n v="0"/>
    <x v="126"/>
    <s v="yes tested"/>
    <x v="0"/>
    <x v="5"/>
    <n v="1"/>
    <n v="0"/>
    <s v="No Pams"/>
    <n v="1"/>
    <n v="1"/>
    <n v="-1"/>
    <n v="-1"/>
    <n v="-1"/>
    <n v="1"/>
    <n v="-1"/>
    <n v="7"/>
  </r>
  <r>
    <n v="0"/>
    <x v="127"/>
    <s v="yes tested"/>
    <x v="0"/>
    <x v="41"/>
    <n v="1"/>
    <n v="0"/>
    <s v="No Pams"/>
    <n v="1"/>
    <n v="1"/>
    <n v="-1"/>
    <n v="-1"/>
    <n v="-1"/>
    <n v="1"/>
    <n v="-1"/>
    <n v="7"/>
  </r>
  <r>
    <n v="0"/>
    <x v="128"/>
    <s v="yes tested"/>
    <x v="0"/>
    <x v="42"/>
    <n v="0"/>
    <n v="0"/>
    <s v="No Pams"/>
    <n v="1"/>
    <n v="1"/>
    <n v="-1"/>
    <n v="-1"/>
    <n v="-1"/>
    <n v="1"/>
    <n v="-1"/>
    <m/>
  </r>
  <r>
    <n v="0"/>
    <x v="129"/>
    <s v="yes tested"/>
    <x v="0"/>
    <x v="43"/>
    <n v="1"/>
    <n v="1"/>
    <s v="No Pams"/>
    <n v="1"/>
    <n v="1"/>
    <n v="-1"/>
    <n v="-1"/>
    <n v="-1"/>
    <n v="1"/>
    <n v="-1"/>
    <m/>
  </r>
  <r>
    <n v="0"/>
    <x v="130"/>
    <s v="yes tested"/>
    <x v="0"/>
    <x v="44"/>
    <n v="1"/>
    <n v="1"/>
    <s v="No Pams"/>
    <n v="1"/>
    <n v="1"/>
    <n v="-1"/>
    <n v="-1"/>
    <n v="-1"/>
    <n v="1"/>
    <n v="-1"/>
    <m/>
  </r>
  <r>
    <n v="0"/>
    <x v="131"/>
    <s v="yes tested"/>
    <x v="0"/>
    <x v="45"/>
    <n v="1"/>
    <n v="1"/>
    <s v="No Pams"/>
    <n v="1"/>
    <n v="1"/>
    <n v="-1"/>
    <n v="-1"/>
    <n v="-1"/>
    <n v="1"/>
    <n v="-1"/>
    <m/>
  </r>
  <r>
    <n v="0"/>
    <x v="132"/>
    <s v="yes tested"/>
    <x v="0"/>
    <x v="46"/>
    <n v="1"/>
    <n v="1"/>
    <s v="No Pams"/>
    <n v="1"/>
    <n v="1"/>
    <n v="-1"/>
    <n v="-1"/>
    <n v="-1"/>
    <n v="1"/>
    <n v="-1"/>
    <m/>
  </r>
  <r>
    <n v="0"/>
    <x v="133"/>
    <s v="yes tested"/>
    <x v="0"/>
    <x v="47"/>
    <n v="1"/>
    <n v="1"/>
    <s v="No Pams"/>
    <n v="1"/>
    <n v="1"/>
    <n v="-1"/>
    <n v="-1"/>
    <n v="-1"/>
    <n v="1"/>
    <n v="-1"/>
    <m/>
  </r>
  <r>
    <n v="0"/>
    <x v="134"/>
    <s v="yes tested"/>
    <x v="0"/>
    <x v="48"/>
    <n v="1"/>
    <n v="1"/>
    <s v="No Pams"/>
    <n v="1"/>
    <n v="1"/>
    <n v="-1"/>
    <n v="-1"/>
    <n v="-1"/>
    <n v="1"/>
    <n v="-1"/>
    <m/>
  </r>
  <r>
    <n v="0"/>
    <x v="135"/>
    <s v="yes tested"/>
    <x v="0"/>
    <x v="29"/>
    <n v="1"/>
    <n v="1"/>
    <s v="No Pams"/>
    <n v="1"/>
    <n v="1"/>
    <n v="-1"/>
    <n v="-1"/>
    <n v="-1"/>
    <n v="1"/>
    <n v="-1"/>
    <m/>
  </r>
  <r>
    <n v="0"/>
    <x v="136"/>
    <s v="yes tested"/>
    <x v="0"/>
    <x v="49"/>
    <n v="1"/>
    <n v="1"/>
    <s v="No Pams"/>
    <n v="1"/>
    <n v="1"/>
    <n v="-1"/>
    <n v="-1"/>
    <n v="-1"/>
    <n v="1"/>
    <n v="-1"/>
    <m/>
  </r>
  <r>
    <n v="0"/>
    <x v="137"/>
    <s v="yes tested"/>
    <x v="0"/>
    <x v="50"/>
    <n v="1"/>
    <n v="1"/>
    <s v="No Pams"/>
    <n v="1"/>
    <n v="1"/>
    <n v="-1"/>
    <n v="-1"/>
    <n v="-1"/>
    <n v="1"/>
    <n v="-1"/>
    <m/>
  </r>
  <r>
    <n v="0"/>
    <x v="138"/>
    <s v="yes tested"/>
    <x v="0"/>
    <x v="51"/>
    <n v="1"/>
    <n v="1"/>
    <s v="No Pams"/>
    <n v="1"/>
    <n v="1"/>
    <n v="-1"/>
    <n v="-1"/>
    <n v="-1"/>
    <n v="1"/>
    <n v="-1"/>
    <m/>
  </r>
  <r>
    <n v="0"/>
    <x v="139"/>
    <s v="yes tested"/>
    <x v="0"/>
    <x v="52"/>
    <n v="1"/>
    <n v="1"/>
    <s v="No Pams"/>
    <n v="1"/>
    <n v="1"/>
    <n v="-1"/>
    <n v="-1"/>
    <n v="-1"/>
    <n v="1"/>
    <n v="-1"/>
    <m/>
  </r>
  <r>
    <n v="0"/>
    <x v="140"/>
    <s v="yes tested"/>
    <x v="0"/>
    <x v="53"/>
    <n v="1"/>
    <n v="1"/>
    <s v="No Pams"/>
    <n v="1"/>
    <n v="1"/>
    <n v="-1"/>
    <n v="-1"/>
    <n v="-1"/>
    <n v="1"/>
    <n v="-1"/>
    <m/>
  </r>
  <r>
    <n v="0"/>
    <x v="141"/>
    <s v="yes tested"/>
    <x v="0"/>
    <x v="54"/>
    <n v="1"/>
    <n v="1"/>
    <s v="No Pams"/>
    <n v="1"/>
    <n v="1"/>
    <n v="-1"/>
    <n v="-1"/>
    <n v="-1"/>
    <n v="1"/>
    <n v="-1"/>
    <m/>
  </r>
  <r>
    <n v="0"/>
    <x v="142"/>
    <s v="yes tested"/>
    <x v="0"/>
    <x v="55"/>
    <n v="0"/>
    <n v="0"/>
    <s v="No Pams"/>
    <n v="1"/>
    <n v="1"/>
    <n v="-1"/>
    <n v="-1"/>
    <n v="-1"/>
    <n v="1"/>
    <n v="-1"/>
    <m/>
  </r>
  <r>
    <n v="0"/>
    <x v="143"/>
    <s v="yes tested"/>
    <x v="0"/>
    <x v="56"/>
    <n v="0"/>
    <n v="0"/>
    <s v="No Pams"/>
    <n v="1"/>
    <n v="1"/>
    <n v="-1"/>
    <n v="-1"/>
    <n v="-1"/>
    <n v="1"/>
    <n v="-1"/>
    <m/>
  </r>
  <r>
    <n v="0"/>
    <x v="144"/>
    <s v="yes tested"/>
    <x v="0"/>
    <x v="57"/>
    <n v="0"/>
    <n v="0"/>
    <s v="No Pams"/>
    <n v="1"/>
    <n v="1"/>
    <n v="-1"/>
    <n v="-1"/>
    <n v="-1"/>
    <n v="1"/>
    <n v="-1"/>
    <m/>
  </r>
  <r>
    <n v="0"/>
    <x v="145"/>
    <s v="yes tested"/>
    <x v="0"/>
    <x v="58"/>
    <n v="0"/>
    <n v="0"/>
    <s v="No Pams"/>
    <n v="1"/>
    <n v="1"/>
    <n v="-1"/>
    <n v="-1"/>
    <n v="-1"/>
    <n v="1"/>
    <n v="-1"/>
    <m/>
  </r>
  <r>
    <n v="0"/>
    <x v="146"/>
    <s v="yes tested"/>
    <x v="0"/>
    <x v="59"/>
    <n v="0"/>
    <n v="0"/>
    <s v="No Pams"/>
    <n v="1"/>
    <n v="1"/>
    <n v="-1"/>
    <n v="-1"/>
    <n v="-1"/>
    <n v="1"/>
    <n v="-1"/>
    <m/>
  </r>
  <r>
    <n v="0"/>
    <x v="147"/>
    <s v="yes tested"/>
    <x v="0"/>
    <x v="60"/>
    <n v="0"/>
    <n v="0"/>
    <s v="No Pams"/>
    <n v="1"/>
    <n v="1"/>
    <n v="-1"/>
    <n v="-1"/>
    <n v="-1"/>
    <n v="1"/>
    <n v="-1"/>
    <m/>
  </r>
  <r>
    <n v="0"/>
    <x v="148"/>
    <s v="yes tested"/>
    <x v="0"/>
    <x v="61"/>
    <n v="0"/>
    <n v="0"/>
    <s v="No Pams"/>
    <n v="1"/>
    <n v="1"/>
    <n v="-1"/>
    <n v="-1"/>
    <n v="-1"/>
    <n v="1"/>
    <n v="-1"/>
    <m/>
  </r>
  <r>
    <n v="0"/>
    <x v="149"/>
    <s v="yes tested"/>
    <x v="0"/>
    <x v="62"/>
    <n v="0"/>
    <n v="0"/>
    <s v="No Pams"/>
    <n v="1"/>
    <n v="1"/>
    <n v="-1"/>
    <n v="-1"/>
    <n v="-1"/>
    <n v="1"/>
    <n v="-1"/>
    <m/>
  </r>
  <r>
    <n v="0"/>
    <x v="150"/>
    <s v="yes tested"/>
    <x v="0"/>
    <x v="63"/>
    <n v="1"/>
    <n v="1"/>
    <s v="No Pams"/>
    <n v="1"/>
    <n v="1"/>
    <n v="-1"/>
    <n v="-1"/>
    <n v="-1"/>
    <n v="1"/>
    <n v="-1"/>
    <m/>
  </r>
  <r>
    <n v="0"/>
    <x v="151"/>
    <s v="yes tested"/>
    <x v="1"/>
    <x v="63"/>
    <n v="1"/>
    <n v="1"/>
    <s v="No Pams"/>
    <n v="1"/>
    <n v="1"/>
    <n v="-1"/>
    <n v="-1"/>
    <n v="-1"/>
    <n v="1"/>
    <n v="-1"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  <r>
    <m/>
    <x v="152"/>
    <m/>
    <x v="2"/>
    <x v="64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68">
  <r>
    <n v="0"/>
    <x v="0"/>
    <s v="yes tested"/>
    <s v="base"/>
    <s v="NOPAMSCAP"/>
    <n v="1"/>
    <n v="1"/>
    <s v="No Pams"/>
    <n v="1"/>
    <n v="1"/>
    <n v="-1"/>
    <n v="-1"/>
    <n v="-1"/>
    <n v="1"/>
    <n v="-1"/>
    <n v="100"/>
  </r>
  <r>
    <n v="0"/>
    <x v="1"/>
    <s v="yes tested"/>
    <s v="base"/>
    <s v="NOPAMSCAPIRP"/>
    <n v="1"/>
    <n v="1"/>
    <s v="Base Pams"/>
    <n v="1"/>
    <n v="1"/>
    <n v="2"/>
    <n v="2"/>
    <n v="1"/>
    <n v="2"/>
    <n v="1"/>
    <n v="100"/>
  </r>
  <r>
    <n v="0"/>
    <x v="2"/>
    <s v="yes tested"/>
    <s v="base"/>
    <s v="NOPAMCAPIRPL"/>
    <n v="1"/>
    <n v="1"/>
    <s v="No Pams"/>
    <n v="1"/>
    <n v="1"/>
    <n v="-1"/>
    <n v="-1"/>
    <n v="-1"/>
    <n v="1"/>
    <n v="-1"/>
    <n v="100"/>
  </r>
  <r>
    <n v="0"/>
    <x v="3"/>
    <s v="yes tested"/>
    <s v="base"/>
    <s v="EECAP"/>
    <n v="1"/>
    <n v="1"/>
    <s v="Base Pams"/>
    <n v="1"/>
    <n v="1"/>
    <n v="2"/>
    <n v="2"/>
    <n v="-1"/>
    <n v="2"/>
    <n v="1"/>
    <n v="100"/>
  </r>
  <r>
    <n v="0"/>
    <x v="4"/>
    <s v="yes tested"/>
    <s v="base"/>
    <s v="LPAMS"/>
    <n v="1"/>
    <n v="1"/>
    <s v="Lim Pams"/>
    <n v="1"/>
    <n v="1"/>
    <n v="2"/>
    <n v="2"/>
    <n v="2"/>
    <n v="1"/>
    <n v="2"/>
    <m/>
  </r>
  <r>
    <n v="0"/>
    <x v="5"/>
    <s v="yes tested"/>
    <s v="base"/>
    <s v="CPAMSCAP"/>
    <n v="1"/>
    <n v="1"/>
    <s v="Base Pams"/>
    <n v="1"/>
    <n v="1"/>
    <n v="2"/>
    <n v="2"/>
    <n v="1"/>
    <n v="2"/>
    <n v="1"/>
    <n v="100"/>
  </r>
  <r>
    <n v="0"/>
    <x v="6"/>
    <s v="yes tested"/>
    <s v="base"/>
    <s v="CPAMSMRE"/>
    <n v="1"/>
    <n v="1"/>
    <s v="Base Pams"/>
    <n v="1"/>
    <n v="1"/>
    <n v="2"/>
    <n v="2"/>
    <n v="1"/>
    <n v="2"/>
    <n v="1"/>
    <m/>
  </r>
  <r>
    <n v="0"/>
    <x v="7"/>
    <s v="yes tested"/>
    <s v="base"/>
    <s v="CPAMSRE"/>
    <n v="1"/>
    <n v="1"/>
    <s v="Base Pams"/>
    <n v="1"/>
    <n v="1"/>
    <n v="2"/>
    <n v="2"/>
    <n v="1"/>
    <n v="2"/>
    <n v="1"/>
    <m/>
  </r>
  <r>
    <n v="0"/>
    <x v="8"/>
    <s v="yes tested"/>
    <s v="base"/>
    <s v="CPAMSCAPIRP"/>
    <n v="1"/>
    <n v="1"/>
    <s v="Base Pams"/>
    <n v="1"/>
    <n v="1"/>
    <n v="2"/>
    <n v="2"/>
    <n v="1"/>
    <n v="2"/>
    <n v="1"/>
    <n v="100"/>
  </r>
  <r>
    <n v="0"/>
    <x v="9"/>
    <s v="yes tested"/>
    <s v="base"/>
    <s v="CPAMSCAPIRPN"/>
    <n v="1"/>
    <n v="1"/>
    <s v="Base Pams"/>
    <n v="1"/>
    <n v="1"/>
    <n v="2"/>
    <n v="2"/>
    <n v="1"/>
    <n v="2"/>
    <n v="1"/>
    <n v="100"/>
  </r>
  <r>
    <n v="0"/>
    <x v="10"/>
    <s v="yes tested"/>
    <s v="base"/>
    <s v="CPAMSCAPIRPL"/>
    <n v="1"/>
    <n v="1"/>
    <s v="Base Pams"/>
    <n v="1"/>
    <n v="1"/>
    <n v="2"/>
    <n v="2"/>
    <n v="1"/>
    <n v="2"/>
    <n v="1"/>
    <n v="100"/>
  </r>
  <r>
    <n v="0"/>
    <x v="11"/>
    <s v="yes tested"/>
    <s v="sim1"/>
    <s v="CPAMSCAPIRP"/>
    <n v="1"/>
    <n v="1"/>
    <s v="Base Pams"/>
    <n v="1"/>
    <n v="1"/>
    <n v="2"/>
    <n v="2"/>
    <n v="1"/>
    <n v="2"/>
    <n v="1"/>
    <n v="100"/>
  </r>
  <r>
    <n v="0"/>
    <x v="12"/>
    <s v="yes tested"/>
    <s v="sim1"/>
    <s v="CPAMSCAPIRPN"/>
    <n v="1"/>
    <n v="1"/>
    <s v="Base Pams"/>
    <n v="1"/>
    <n v="1"/>
    <n v="2"/>
    <n v="2"/>
    <n v="1"/>
    <n v="2"/>
    <n v="1"/>
    <n v="100"/>
  </r>
  <r>
    <n v="0"/>
    <x v="13"/>
    <s v="yes tested"/>
    <s v="sim1"/>
    <s v="CPAMSCAPIRPL"/>
    <n v="1"/>
    <n v="1"/>
    <s v="Base Pams"/>
    <n v="1"/>
    <n v="1"/>
    <n v="2"/>
    <n v="2"/>
    <n v="1"/>
    <n v="2"/>
    <n v="1"/>
    <n v="100"/>
  </r>
  <r>
    <n v="0"/>
    <x v="14"/>
    <s v="yes tested"/>
    <s v="base"/>
    <s v="HPAMSIRP"/>
    <n v="1"/>
    <n v="1"/>
    <s v="Ambitious Pams"/>
    <n v="1"/>
    <n v="1"/>
    <n v="1"/>
    <n v="1"/>
    <n v="3"/>
    <n v="3"/>
    <n v="3"/>
    <m/>
  </r>
  <r>
    <n v="0"/>
    <x v="15"/>
    <s v="yes tested"/>
    <s v="base"/>
    <s v="NOPAMS_NDP"/>
    <n v="1"/>
    <n v="0"/>
    <s v="No Pams"/>
    <n v="1"/>
    <n v="1"/>
    <n v="-1"/>
    <n v="-1"/>
    <n v="-1"/>
    <n v="1"/>
    <n v="-1"/>
    <m/>
  </r>
  <r>
    <n v="0"/>
    <x v="16"/>
    <s v="yes tested"/>
    <s v="base"/>
    <s v="CPAMS_NDP"/>
    <n v="1"/>
    <n v="0"/>
    <s v="Base Pams"/>
    <n v="1"/>
    <n v="1"/>
    <n v="2"/>
    <n v="2"/>
    <n v="1"/>
    <n v="2"/>
    <n v="1"/>
    <m/>
  </r>
  <r>
    <n v="0"/>
    <x v="17"/>
    <s v="yes tested"/>
    <s v="base"/>
    <s v="NOPAMS_LEAF"/>
    <n v="1"/>
    <n v="1"/>
    <s v="No Pams"/>
    <n v="1"/>
    <n v="1"/>
    <n v="-1"/>
    <n v="-1"/>
    <n v="-1"/>
    <n v="1"/>
    <n v="-1"/>
    <m/>
  </r>
  <r>
    <n v="0"/>
    <x v="18"/>
    <s v="yes tested"/>
    <s v="base"/>
    <s v="CPAMS_LEAF"/>
    <n v="1"/>
    <n v="1"/>
    <s v="Base Pams"/>
    <n v="1"/>
    <n v="1"/>
    <n v="2"/>
    <n v="2"/>
    <n v="1"/>
    <n v="2"/>
    <n v="1"/>
    <m/>
  </r>
  <r>
    <n v="0"/>
    <x v="19"/>
    <s v="yes tested"/>
    <s v="base"/>
    <s v="CPAMSRE_LEAF"/>
    <n v="1"/>
    <n v="1"/>
    <s v="Base Pams"/>
    <n v="1"/>
    <n v="1"/>
    <n v="2"/>
    <n v="2"/>
    <n v="1"/>
    <n v="2"/>
    <n v="1"/>
    <m/>
  </r>
  <r>
    <n v="0"/>
    <x v="20"/>
    <s v="yes tested"/>
    <s v="sim1"/>
    <s v="CPAMSIRPTG"/>
    <n v="1"/>
    <n v="1"/>
    <s v="Base Pams"/>
    <n v="1"/>
    <n v="1"/>
    <n v="2"/>
    <n v="2"/>
    <n v="1"/>
    <n v="2"/>
    <n v="1"/>
    <m/>
  </r>
  <r>
    <n v="0"/>
    <x v="21"/>
    <s v="yes tested"/>
    <s v="sim1"/>
    <s v="CPAMSRETG"/>
    <n v="1"/>
    <n v="1"/>
    <s v="Base Pams"/>
    <n v="1"/>
    <n v="1"/>
    <n v="2"/>
    <n v="2"/>
    <n v="1"/>
    <n v="2"/>
    <n v="1"/>
    <m/>
  </r>
  <r>
    <n v="0"/>
    <x v="22"/>
    <s v="yes tested"/>
    <s v="sim1"/>
    <s v="CPAMSMRETG"/>
    <n v="1"/>
    <n v="1"/>
    <s v="Base Pams"/>
    <n v="1"/>
    <n v="1"/>
    <n v="2"/>
    <n v="2"/>
    <n v="1"/>
    <n v="2"/>
    <n v="1"/>
    <m/>
  </r>
  <r>
    <n v="0"/>
    <x v="23"/>
    <s v="yes tested"/>
    <s v="sim1"/>
    <s v="LPAMSMRETG"/>
    <n v="1"/>
    <n v="1"/>
    <s v="Lim Pams"/>
    <n v="1"/>
    <n v="1"/>
    <n v="2"/>
    <n v="2"/>
    <n v="2"/>
    <n v="1"/>
    <n v="2"/>
    <m/>
  </r>
  <r>
    <n v="0"/>
    <x v="24"/>
    <s v="yes tested"/>
    <s v="sim1"/>
    <s v="NOPAMSFCTG"/>
    <n v="1"/>
    <n v="1"/>
    <s v="No Pams"/>
    <n v="1"/>
    <n v="1"/>
    <n v="-1"/>
    <n v="-1"/>
    <n v="-1"/>
    <n v="1"/>
    <n v="-1"/>
    <m/>
  </r>
  <r>
    <n v="0"/>
    <x v="25"/>
    <s v="yes tested"/>
    <s v="sim1"/>
    <s v="NOPAMSCAP"/>
    <n v="1"/>
    <n v="1"/>
    <s v="No Pams"/>
    <n v="1"/>
    <n v="1"/>
    <n v="-1"/>
    <n v="-1"/>
    <n v="-1"/>
    <n v="1"/>
    <n v="-1"/>
    <n v="100"/>
  </r>
  <r>
    <n v="0"/>
    <x v="26"/>
    <s v="yes tested"/>
    <s v="sim1"/>
    <s v="NOPAMSCAPIRP"/>
    <n v="1"/>
    <n v="1"/>
    <s v="No Pams"/>
    <n v="1"/>
    <n v="1"/>
    <n v="-1"/>
    <n v="-1"/>
    <n v="-1"/>
    <n v="1"/>
    <n v="-1"/>
    <n v="100"/>
  </r>
  <r>
    <n v="0"/>
    <x v="27"/>
    <s v="yes tested"/>
    <s v="sim1"/>
    <s v="NOPAMCAPIRPN"/>
    <n v="1"/>
    <n v="1"/>
    <s v="No Pams"/>
    <n v="1"/>
    <n v="1"/>
    <n v="-1"/>
    <n v="-1"/>
    <n v="-1"/>
    <n v="1"/>
    <n v="-1"/>
    <n v="100"/>
  </r>
  <r>
    <n v="0"/>
    <x v="28"/>
    <s v="yes tested"/>
    <s v="sim1"/>
    <s v="NOPAMCAPIRPL"/>
    <n v="1"/>
    <n v="1"/>
    <s v="No Pams"/>
    <n v="1"/>
    <n v="1"/>
    <n v="-1"/>
    <n v="-1"/>
    <n v="-1"/>
    <n v="1"/>
    <n v="-1"/>
    <n v="100"/>
  </r>
  <r>
    <n v="0"/>
    <x v="29"/>
    <s v="yes tested"/>
    <s v="sim1"/>
    <s v="NOPAMSCAP"/>
    <n v="1"/>
    <n v="1"/>
    <s v="No Pams"/>
    <n v="1"/>
    <n v="1"/>
    <n v="-1"/>
    <n v="-1"/>
    <n v="-1"/>
    <n v="1"/>
    <n v="-1"/>
    <n v="8"/>
  </r>
  <r>
    <n v="0"/>
    <x v="30"/>
    <s v="yes tested"/>
    <s v="sim1"/>
    <s v="NOPAMSCAP"/>
    <n v="1"/>
    <n v="1"/>
    <s v="No Pams"/>
    <n v="1"/>
    <n v="1"/>
    <n v="-1"/>
    <n v="-1"/>
    <n v="-1"/>
    <n v="1"/>
    <n v="-1"/>
    <n v="7.5"/>
  </r>
  <r>
    <n v="0"/>
    <x v="31"/>
    <s v="yes tested"/>
    <s v="sim1"/>
    <s v="NOPAMSCAP"/>
    <n v="1"/>
    <n v="1"/>
    <s v="No Pams"/>
    <n v="1"/>
    <n v="1"/>
    <n v="-1"/>
    <n v="-1"/>
    <n v="-1"/>
    <n v="1"/>
    <n v="-1"/>
    <n v="7.2"/>
  </r>
  <r>
    <n v="0"/>
    <x v="32"/>
    <s v="yes tested"/>
    <s v="sim1"/>
    <s v="NOPAMSCAP"/>
    <n v="1"/>
    <n v="1"/>
    <s v="No Pams"/>
    <n v="1"/>
    <n v="1"/>
    <n v="-1"/>
    <n v="-1"/>
    <n v="-1"/>
    <n v="1"/>
    <n v="-1"/>
    <n v="7"/>
  </r>
  <r>
    <n v="0"/>
    <x v="33"/>
    <s v="yes tested"/>
    <s v="sim1"/>
    <s v="NOPAMSCAPIRP"/>
    <n v="1"/>
    <n v="1"/>
    <s v="No Pams"/>
    <n v="1"/>
    <n v="1"/>
    <n v="-1"/>
    <n v="-1"/>
    <n v="-1"/>
    <n v="1"/>
    <n v="-1"/>
    <n v="7"/>
  </r>
  <r>
    <n v="0"/>
    <x v="34"/>
    <s v="yes tested"/>
    <s v="sim1"/>
    <s v="NOPAMCAPIRPN"/>
    <n v="1"/>
    <n v="1"/>
    <s v="No Pams"/>
    <n v="1"/>
    <n v="1"/>
    <n v="-1"/>
    <n v="-1"/>
    <n v="-1"/>
    <n v="1"/>
    <n v="-1"/>
    <n v="7"/>
  </r>
  <r>
    <n v="0"/>
    <x v="35"/>
    <s v="yes tested"/>
    <s v="sim1"/>
    <s v="NOPAMSCAP"/>
    <n v="1"/>
    <n v="1"/>
    <s v="No Pams"/>
    <n v="1"/>
    <n v="1"/>
    <n v="-1"/>
    <n v="-1"/>
    <n v="-1"/>
    <n v="1"/>
    <n v="-1"/>
    <n v="6.5"/>
  </r>
  <r>
    <n v="0"/>
    <x v="36"/>
    <s v="yes tested"/>
    <s v="sim1"/>
    <s v="NOPAMSCAP"/>
    <n v="1"/>
    <n v="1"/>
    <s v="No Pams"/>
    <n v="1"/>
    <n v="1"/>
    <n v="-1"/>
    <n v="-1"/>
    <n v="-1"/>
    <n v="1"/>
    <n v="-1"/>
    <n v="6"/>
  </r>
  <r>
    <n v="0"/>
    <x v="37"/>
    <s v="yes tested"/>
    <s v="sim1"/>
    <s v="NOPAMS_LEAF"/>
    <n v="1"/>
    <n v="1"/>
    <s v="No Pams"/>
    <n v="1"/>
    <n v="1"/>
    <n v="-1"/>
    <n v="-1"/>
    <n v="-1"/>
    <n v="1"/>
    <n v="-1"/>
    <m/>
  </r>
  <r>
    <n v="0"/>
    <x v="38"/>
    <s v="yes tested"/>
    <s v="sim1"/>
    <s v="CPAMSCAP"/>
    <n v="1"/>
    <n v="1"/>
    <s v="Base Pams"/>
    <n v="1"/>
    <n v="1"/>
    <n v="2"/>
    <n v="2"/>
    <n v="1"/>
    <n v="2"/>
    <n v="1"/>
    <n v="8"/>
  </r>
  <r>
    <n v="0"/>
    <x v="39"/>
    <s v="yes tested"/>
    <s v="sim1"/>
    <s v="CPAMSCAP"/>
    <n v="1"/>
    <n v="1"/>
    <s v="Base Pams"/>
    <n v="1"/>
    <n v="1"/>
    <n v="2"/>
    <n v="2"/>
    <n v="1"/>
    <n v="2"/>
    <n v="1"/>
    <n v="7.5"/>
  </r>
  <r>
    <n v="0"/>
    <x v="40"/>
    <s v="yes tested"/>
    <s v="sim1"/>
    <s v="CPAMSCAPIRP"/>
    <n v="1"/>
    <n v="1"/>
    <s v="Base Pams"/>
    <n v="1"/>
    <n v="1"/>
    <n v="2"/>
    <n v="2"/>
    <n v="1"/>
    <n v="2"/>
    <n v="1"/>
    <n v="7.5"/>
  </r>
  <r>
    <n v="0"/>
    <x v="41"/>
    <s v="yes tested"/>
    <s v="sim1"/>
    <s v="CPAMSCAPIRPN"/>
    <n v="1"/>
    <n v="1"/>
    <s v="Base Pams"/>
    <n v="1"/>
    <n v="1"/>
    <n v="2"/>
    <n v="2"/>
    <n v="1"/>
    <n v="2"/>
    <n v="1"/>
    <n v="7.5"/>
  </r>
  <r>
    <n v="0"/>
    <x v="42"/>
    <s v="yes tested"/>
    <s v="sim1"/>
    <s v="CPAMSCAP"/>
    <n v="1"/>
    <n v="1"/>
    <s v="Base Pams"/>
    <n v="1"/>
    <n v="1"/>
    <n v="2"/>
    <n v="2"/>
    <n v="1"/>
    <n v="2"/>
    <n v="1"/>
    <n v="7.2"/>
  </r>
  <r>
    <n v="0"/>
    <x v="43"/>
    <s v="yes tested"/>
    <s v="sim1"/>
    <s v="CPAMSCAPIRP"/>
    <n v="1"/>
    <n v="1"/>
    <s v="Base Pams"/>
    <n v="1"/>
    <n v="1"/>
    <n v="2"/>
    <n v="2"/>
    <n v="1"/>
    <n v="2"/>
    <n v="1"/>
    <n v="7.2"/>
  </r>
  <r>
    <n v="0"/>
    <x v="44"/>
    <s v="yes tested"/>
    <s v="sim1"/>
    <s v="CPAMSCAPIRPN"/>
    <n v="1"/>
    <n v="1"/>
    <s v="Base Pams"/>
    <n v="1"/>
    <n v="1"/>
    <n v="2"/>
    <n v="2"/>
    <n v="1"/>
    <n v="2"/>
    <n v="1"/>
    <n v="7.2"/>
  </r>
  <r>
    <n v="0"/>
    <x v="45"/>
    <s v="yes tested"/>
    <s v="sim1"/>
    <s v="CPAMSCAP"/>
    <n v="1"/>
    <n v="1"/>
    <s v="Base Pams"/>
    <n v="1"/>
    <n v="1"/>
    <n v="2"/>
    <n v="2"/>
    <n v="1"/>
    <n v="2"/>
    <n v="1"/>
    <n v="7"/>
  </r>
  <r>
    <n v="0"/>
    <x v="46"/>
    <s v="yes tested"/>
    <s v="sim1"/>
    <s v="CPAMSCAPIRP"/>
    <n v="1"/>
    <n v="1"/>
    <s v="Base Pams"/>
    <n v="1"/>
    <n v="1"/>
    <n v="2"/>
    <n v="2"/>
    <n v="1"/>
    <n v="2"/>
    <n v="1"/>
    <n v="7"/>
  </r>
  <r>
    <n v="0"/>
    <x v="47"/>
    <s v="yes tested"/>
    <s v="sim1"/>
    <s v="CPAMSCAPIRPN"/>
    <n v="1"/>
    <n v="1"/>
    <s v="Base Pams"/>
    <n v="1"/>
    <n v="1"/>
    <n v="2"/>
    <n v="2"/>
    <n v="1"/>
    <n v="2"/>
    <n v="1"/>
    <n v="7"/>
  </r>
  <r>
    <n v="0"/>
    <x v="48"/>
    <s v="yes tested"/>
    <s v="sim1"/>
    <s v="CPAMSCAPIRPL"/>
    <n v="1"/>
    <n v="1"/>
    <s v="Base Pams"/>
    <n v="1"/>
    <n v="1"/>
    <n v="2"/>
    <n v="2"/>
    <n v="1"/>
    <n v="2"/>
    <n v="1"/>
    <n v="7"/>
  </r>
  <r>
    <n v="0"/>
    <x v="49"/>
    <s v="yes tested"/>
    <s v="sim1"/>
    <s v="CPAMSCAP"/>
    <n v="1"/>
    <n v="1"/>
    <s v="Base Pams"/>
    <n v="1"/>
    <n v="1"/>
    <n v="2"/>
    <n v="2"/>
    <n v="1"/>
    <n v="2"/>
    <n v="1"/>
    <n v="6.5"/>
  </r>
  <r>
    <n v="0"/>
    <x v="50"/>
    <s v="yes tested"/>
    <s v="sim1"/>
    <s v="CPAMSCAPIRP"/>
    <n v="1"/>
    <n v="1"/>
    <s v="Base Pams"/>
    <n v="1"/>
    <n v="1"/>
    <n v="2"/>
    <n v="2"/>
    <n v="1"/>
    <n v="2"/>
    <n v="1"/>
    <n v="6.5"/>
  </r>
  <r>
    <n v="0"/>
    <x v="51"/>
    <s v="yes tested"/>
    <s v="sim1"/>
    <s v="CPAMSCAPIRPN"/>
    <n v="1"/>
    <n v="1"/>
    <s v="Base Pams"/>
    <n v="1"/>
    <n v="1"/>
    <n v="2"/>
    <n v="2"/>
    <n v="1"/>
    <n v="2"/>
    <n v="1"/>
    <n v="6.5"/>
  </r>
  <r>
    <n v="0"/>
    <x v="52"/>
    <s v="yes tested"/>
    <s v="sim1"/>
    <s v="CPAMSCAP"/>
    <n v="1"/>
    <n v="1"/>
    <s v="Base Pams"/>
    <n v="1"/>
    <n v="1"/>
    <n v="2"/>
    <n v="2"/>
    <n v="1"/>
    <n v="2"/>
    <n v="1"/>
    <n v="6"/>
  </r>
  <r>
    <n v="0"/>
    <x v="53"/>
    <s v="yes tested"/>
    <s v="sim1"/>
    <s v="CPAMSCAPIRP"/>
    <n v="1"/>
    <n v="1"/>
    <s v="Base Pams"/>
    <n v="1"/>
    <n v="1"/>
    <n v="2"/>
    <n v="2"/>
    <n v="1"/>
    <n v="2"/>
    <n v="1"/>
    <n v="6"/>
  </r>
  <r>
    <n v="0"/>
    <x v="54"/>
    <s v="yes tested"/>
    <s v="sim1"/>
    <s v="CPAMS_LEAF"/>
    <n v="1"/>
    <n v="1"/>
    <s v="Base Pams"/>
    <n v="1"/>
    <n v="1"/>
    <n v="2"/>
    <n v="2"/>
    <n v="1"/>
    <n v="2"/>
    <n v="1"/>
    <m/>
  </r>
  <r>
    <n v="0"/>
    <x v="55"/>
    <s v="yes tested"/>
    <s v="base"/>
    <s v="NOPAMSLOP"/>
    <n v="1"/>
    <n v="1"/>
    <s v="No Pams"/>
    <n v="1"/>
    <n v="1"/>
    <n v="-1"/>
    <n v="-1"/>
    <n v="-1"/>
    <n v="1"/>
    <n v="-1"/>
    <m/>
  </r>
  <r>
    <n v="0"/>
    <x v="56"/>
    <s v="yes tested"/>
    <s v="base"/>
    <s v="NOPAMSCAP"/>
    <n v="1"/>
    <n v="1"/>
    <s v="No Pams"/>
    <n v="1"/>
    <n v="1"/>
    <n v="-1"/>
    <n v="-1"/>
    <n v="-1"/>
    <n v="1"/>
    <n v="-1"/>
    <n v="10"/>
  </r>
  <r>
    <n v="0"/>
    <x v="57"/>
    <s v="yes tested"/>
    <s v="base"/>
    <s v="NOPAMSCAP"/>
    <n v="1"/>
    <n v="1"/>
    <s v="No Pams"/>
    <n v="1"/>
    <n v="1"/>
    <n v="-1"/>
    <n v="-1"/>
    <n v="-1"/>
    <n v="1"/>
    <n v="-1"/>
    <n v="9"/>
  </r>
  <r>
    <n v="0"/>
    <x v="58"/>
    <s v="yes tested"/>
    <s v="base"/>
    <s v="NOPAMSCAP"/>
    <n v="1"/>
    <n v="1"/>
    <s v="No Pams"/>
    <n v="1"/>
    <n v="1"/>
    <n v="-1"/>
    <n v="-1"/>
    <n v="-1"/>
    <n v="1"/>
    <n v="-1"/>
    <n v="8"/>
  </r>
  <r>
    <n v="0"/>
    <x v="59"/>
    <s v="yes tested"/>
    <s v="base"/>
    <s v="NOPAMSCAP"/>
    <n v="1"/>
    <n v="1"/>
    <s v="No Pams"/>
    <n v="1"/>
    <n v="1"/>
    <n v="-1"/>
    <n v="-1"/>
    <n v="-1"/>
    <n v="1"/>
    <n v="-1"/>
    <n v="7.5"/>
  </r>
  <r>
    <n v="0"/>
    <x v="60"/>
    <s v="yes tested"/>
    <s v="base"/>
    <s v="NOPAMSCAP"/>
    <n v="1"/>
    <n v="1"/>
    <s v="No Pams"/>
    <n v="1"/>
    <n v="1"/>
    <n v="-1"/>
    <n v="-1"/>
    <n v="-1"/>
    <n v="1"/>
    <n v="-1"/>
    <n v="7.35"/>
  </r>
  <r>
    <n v="0"/>
    <x v="61"/>
    <s v="yes tested"/>
    <s v="base"/>
    <s v="NOPAMSCAP"/>
    <n v="1"/>
    <n v="1"/>
    <s v="No Pams"/>
    <n v="1"/>
    <n v="1"/>
    <n v="-1"/>
    <n v="-1"/>
    <n v="-1"/>
    <n v="1"/>
    <n v="-1"/>
    <n v="7.2"/>
  </r>
  <r>
    <n v="0"/>
    <x v="62"/>
    <s v="yes tested"/>
    <s v="base"/>
    <s v="NOPAMSCAP"/>
    <n v="1"/>
    <n v="1"/>
    <s v="No Pams"/>
    <n v="1"/>
    <n v="1"/>
    <n v="-1"/>
    <n v="-1"/>
    <n v="-1"/>
    <n v="1"/>
    <n v="-1"/>
    <n v="7"/>
  </r>
  <r>
    <n v="0"/>
    <x v="63"/>
    <s v="yes tested"/>
    <s v="base"/>
    <s v="NOPAMSCAPIRP"/>
    <n v="1"/>
    <n v="1"/>
    <s v="No Pams"/>
    <n v="1"/>
    <n v="1"/>
    <n v="-1"/>
    <n v="-1"/>
    <n v="-1"/>
    <n v="1"/>
    <n v="-1"/>
    <n v="7"/>
  </r>
  <r>
    <n v="0"/>
    <x v="64"/>
    <s v="yes tested"/>
    <s v="base"/>
    <s v="NOPAMCAPIRPN"/>
    <n v="1"/>
    <n v="1"/>
    <s v="No Pams"/>
    <n v="1"/>
    <n v="1"/>
    <n v="-1"/>
    <n v="-1"/>
    <n v="-1"/>
    <n v="1"/>
    <n v="-1"/>
    <n v="7"/>
  </r>
  <r>
    <n v="0"/>
    <x v="65"/>
    <s v="yes tested"/>
    <s v="base"/>
    <s v="NOPAMSCAP"/>
    <n v="1"/>
    <n v="1"/>
    <s v="No Pams"/>
    <n v="1"/>
    <n v="1"/>
    <n v="-1"/>
    <n v="-1"/>
    <n v="-1"/>
    <n v="1"/>
    <n v="-1"/>
    <n v="6.75"/>
  </r>
  <r>
    <n v="0"/>
    <x v="66"/>
    <s v="yes tested"/>
    <s v="base"/>
    <s v="NOPAMSCAP"/>
    <n v="1"/>
    <n v="1"/>
    <s v="No Pams"/>
    <n v="1"/>
    <n v="1"/>
    <n v="-1"/>
    <n v="-1"/>
    <n v="-1"/>
    <n v="1"/>
    <n v="-1"/>
    <n v="6.5"/>
  </r>
  <r>
    <n v="0"/>
    <x v="67"/>
    <s v="yes tested"/>
    <s v="base"/>
    <s v="NOPAMSCAP"/>
    <n v="1"/>
    <n v="1"/>
    <s v="No Pams"/>
    <n v="1"/>
    <n v="1"/>
    <n v="-1"/>
    <n v="-1"/>
    <n v="-1"/>
    <n v="1"/>
    <n v="-1"/>
    <n v="6.25"/>
  </r>
  <r>
    <n v="0"/>
    <x v="68"/>
    <s v="yes tested"/>
    <s v="base"/>
    <s v="NOPAMSCAP"/>
    <n v="1"/>
    <n v="1"/>
    <s v="No Pams"/>
    <n v="1"/>
    <n v="1"/>
    <n v="-1"/>
    <n v="-1"/>
    <n v="-1"/>
    <n v="1"/>
    <n v="-1"/>
    <n v="6"/>
  </r>
  <r>
    <n v="0"/>
    <x v="69"/>
    <s v="yes tested"/>
    <s v="base"/>
    <s v="NOPAMSCAP"/>
    <n v="1"/>
    <n v="1"/>
    <s v="No Pams"/>
    <n v="1"/>
    <n v="1"/>
    <n v="-1"/>
    <n v="-1"/>
    <n v="-1"/>
    <n v="1"/>
    <n v="-1"/>
    <n v="5.75"/>
  </r>
  <r>
    <n v="0"/>
    <x v="70"/>
    <s v="yes tested"/>
    <s v="base"/>
    <s v="NOPAMSMRE_LE"/>
    <n v="1"/>
    <n v="1"/>
    <s v="No Pams"/>
    <n v="1"/>
    <n v="1"/>
    <n v="-1"/>
    <n v="-1"/>
    <n v="-1"/>
    <n v="1"/>
    <n v="-1"/>
    <m/>
  </r>
  <r>
    <n v="0"/>
    <x v="71"/>
    <s v="yes tested"/>
    <s v="sim1"/>
    <s v="NOPAMSMRE_LE"/>
    <n v="1"/>
    <n v="1"/>
    <s v="No Pams"/>
    <n v="1"/>
    <n v="1"/>
    <n v="-1"/>
    <n v="-1"/>
    <n v="-1"/>
    <n v="1"/>
    <n v="-1"/>
    <m/>
  </r>
  <r>
    <n v="0"/>
    <x v="72"/>
    <s v="yes tested"/>
    <s v="base"/>
    <s v="NOPAMSRE_LE"/>
    <n v="1"/>
    <n v="1"/>
    <s v="No Pams"/>
    <n v="1"/>
    <n v="1"/>
    <n v="-1"/>
    <n v="-1"/>
    <n v="-1"/>
    <n v="1"/>
    <n v="-1"/>
    <m/>
  </r>
  <r>
    <n v="0"/>
    <x v="73"/>
    <s v="yes tested"/>
    <s v="sim1"/>
    <s v="NOPAMSRE_LE"/>
    <n v="1"/>
    <n v="1"/>
    <s v="No Pams"/>
    <n v="1"/>
    <n v="1"/>
    <n v="-1"/>
    <n v="-1"/>
    <n v="-1"/>
    <n v="1"/>
    <n v="-1"/>
    <m/>
  </r>
  <r>
    <n v="0"/>
    <x v="74"/>
    <s v="yes tested"/>
    <s v="base"/>
    <s v="CPAMSNOIRPLE"/>
    <n v="1"/>
    <n v="1"/>
    <s v="Base Pams"/>
    <n v="1"/>
    <n v="1"/>
    <n v="2"/>
    <n v="2"/>
    <n v="1"/>
    <n v="2"/>
    <n v="1"/>
    <m/>
  </r>
  <r>
    <n v="0"/>
    <x v="75"/>
    <s v="yes tested"/>
    <s v="base"/>
    <s v="CPAMSMRELEAF"/>
    <n v="1"/>
    <n v="1"/>
    <s v="Base Pams"/>
    <n v="1"/>
    <n v="1"/>
    <n v="2"/>
    <n v="2"/>
    <n v="1"/>
    <n v="2"/>
    <n v="1"/>
    <m/>
  </r>
  <r>
    <n v="0"/>
    <x v="76"/>
    <s v="yes tested"/>
    <s v="sim1"/>
    <s v="CPAMSNOIRPLE"/>
    <n v="1"/>
    <n v="1"/>
    <s v="Base Pams"/>
    <n v="1"/>
    <n v="1"/>
    <n v="2"/>
    <n v="2"/>
    <n v="1"/>
    <n v="2"/>
    <n v="1"/>
    <m/>
  </r>
  <r>
    <n v="0"/>
    <x v="77"/>
    <s v="yes tested"/>
    <s v="sim1"/>
    <s v="CPAMSMRELEAF"/>
    <n v="1"/>
    <n v="1"/>
    <s v="Base Pams"/>
    <n v="1"/>
    <n v="1"/>
    <n v="2"/>
    <n v="2"/>
    <n v="1"/>
    <n v="2"/>
    <n v="1"/>
    <m/>
  </r>
  <r>
    <n v="0"/>
    <x v="78"/>
    <s v="yes tested"/>
    <s v="sim1"/>
    <s v="CPAMSRE_LEAF"/>
    <n v="1"/>
    <n v="1"/>
    <s v="Base Pams"/>
    <n v="1"/>
    <n v="1"/>
    <n v="2"/>
    <n v="2"/>
    <n v="1"/>
    <n v="2"/>
    <n v="1"/>
    <m/>
  </r>
  <r>
    <n v="0"/>
    <x v="79"/>
    <s v="yes tested"/>
    <s v="base"/>
    <s v="CPAMSCAP"/>
    <n v="1"/>
    <n v="0"/>
    <s v="Base Pams"/>
    <n v="1"/>
    <n v="1"/>
    <n v="2"/>
    <n v="2"/>
    <n v="1"/>
    <n v="2"/>
    <n v="1"/>
    <n v="10"/>
  </r>
  <r>
    <n v="0"/>
    <x v="80"/>
    <s v="yes tested"/>
    <s v="base"/>
    <s v="CPAMSCAP"/>
    <n v="1"/>
    <n v="0"/>
    <s v="Base Pams"/>
    <n v="1"/>
    <n v="1"/>
    <n v="2"/>
    <n v="2"/>
    <n v="1"/>
    <n v="2"/>
    <n v="1"/>
    <n v="9"/>
  </r>
  <r>
    <n v="0"/>
    <x v="81"/>
    <s v="yes tested"/>
    <s v="base"/>
    <s v="CPAMSCAP"/>
    <n v="1"/>
    <n v="0"/>
    <s v="Base Pams"/>
    <n v="1"/>
    <n v="1"/>
    <n v="2"/>
    <n v="2"/>
    <n v="1"/>
    <n v="2"/>
    <n v="1"/>
    <n v="8"/>
  </r>
  <r>
    <n v="0"/>
    <x v="82"/>
    <s v="yes tested"/>
    <s v="base"/>
    <s v="CPAMSCAP"/>
    <n v="1"/>
    <n v="0"/>
    <s v="Base Pams"/>
    <n v="1"/>
    <n v="1"/>
    <n v="2"/>
    <n v="2"/>
    <n v="1"/>
    <n v="2"/>
    <n v="1"/>
    <n v="7"/>
  </r>
  <r>
    <n v="0"/>
    <x v="83"/>
    <s v="yes tested"/>
    <s v="base"/>
    <s v="CPAMSCAP"/>
    <n v="1"/>
    <n v="0"/>
    <s v="Base Pams"/>
    <n v="1"/>
    <n v="1"/>
    <n v="2"/>
    <n v="2"/>
    <n v="1"/>
    <n v="2"/>
    <n v="1"/>
    <n v="6"/>
  </r>
  <r>
    <n v="0"/>
    <x v="84"/>
    <s v="yes tested"/>
    <s v="base"/>
    <s v="CPAMSCAP"/>
    <n v="1"/>
    <n v="1"/>
    <s v="Base Pams"/>
    <n v="1"/>
    <n v="1"/>
    <n v="2"/>
    <n v="2"/>
    <n v="1"/>
    <n v="2"/>
    <n v="1"/>
    <n v="10"/>
  </r>
  <r>
    <n v="0"/>
    <x v="85"/>
    <s v="yes tested"/>
    <s v="base"/>
    <s v="CPAMSCAP"/>
    <n v="1"/>
    <n v="1"/>
    <s v="Base Pams"/>
    <n v="1"/>
    <n v="1"/>
    <n v="2"/>
    <n v="2"/>
    <n v="1"/>
    <n v="2"/>
    <n v="1"/>
    <n v="9"/>
  </r>
  <r>
    <n v="0"/>
    <x v="86"/>
    <s v="yes tested"/>
    <s v="base"/>
    <s v="CPAMSCAP"/>
    <n v="1"/>
    <n v="1"/>
    <s v="Base Pams"/>
    <n v="1"/>
    <n v="1"/>
    <n v="2"/>
    <n v="2"/>
    <n v="1"/>
    <n v="2"/>
    <n v="1"/>
    <n v="8"/>
  </r>
  <r>
    <n v="0"/>
    <x v="87"/>
    <s v="yes tested"/>
    <s v="base"/>
    <s v="CPAMSCAP"/>
    <n v="1"/>
    <n v="1"/>
    <s v="Base Pams"/>
    <n v="1"/>
    <n v="1"/>
    <n v="2"/>
    <n v="2"/>
    <n v="1"/>
    <n v="2"/>
    <n v="1"/>
    <n v="7.5"/>
  </r>
  <r>
    <n v="0"/>
    <x v="88"/>
    <s v="yes tested"/>
    <s v="base"/>
    <s v="CPAMSCAPIRP"/>
    <n v="1"/>
    <n v="1"/>
    <s v="Base Pams"/>
    <n v="1"/>
    <n v="1"/>
    <n v="2"/>
    <n v="2"/>
    <n v="1"/>
    <n v="2"/>
    <n v="1"/>
    <n v="7.5"/>
  </r>
  <r>
    <n v="0"/>
    <x v="89"/>
    <s v="yes tested"/>
    <s v="base"/>
    <s v="CPAMSCAPIRPN"/>
    <n v="1"/>
    <n v="1"/>
    <s v="Base Pams"/>
    <n v="1"/>
    <n v="1"/>
    <n v="2"/>
    <n v="2"/>
    <n v="1"/>
    <n v="2"/>
    <n v="1"/>
    <n v="7.5"/>
  </r>
  <r>
    <n v="0"/>
    <x v="90"/>
    <s v="yes tested"/>
    <s v="base"/>
    <s v="CPAMSCAP"/>
    <n v="1"/>
    <n v="1"/>
    <s v="Base Pams"/>
    <n v="1"/>
    <n v="1"/>
    <n v="2"/>
    <n v="2"/>
    <n v="1"/>
    <n v="2"/>
    <n v="1"/>
    <n v="7.35"/>
  </r>
  <r>
    <n v="0"/>
    <x v="91"/>
    <s v="yes tested"/>
    <s v="base"/>
    <s v="CPAMSCAP"/>
    <n v="1"/>
    <n v="1"/>
    <s v="Base Pams"/>
    <n v="1"/>
    <n v="1"/>
    <n v="2"/>
    <n v="2"/>
    <n v="1"/>
    <n v="2"/>
    <n v="1"/>
    <n v="7"/>
  </r>
  <r>
    <n v="0"/>
    <x v="92"/>
    <s v="yes tested"/>
    <s v="base"/>
    <s v="CPAMSCAPIRP"/>
    <n v="1"/>
    <n v="1"/>
    <s v="Base Pams"/>
    <n v="1"/>
    <n v="1"/>
    <n v="2"/>
    <n v="2"/>
    <n v="1"/>
    <n v="2"/>
    <n v="1"/>
    <n v="7"/>
  </r>
  <r>
    <n v="0"/>
    <x v="93"/>
    <s v="yes tested"/>
    <s v="base"/>
    <s v="CPAMSCAPIRPN"/>
    <n v="1"/>
    <n v="1"/>
    <s v="Base Pams"/>
    <n v="1"/>
    <n v="1"/>
    <n v="2"/>
    <n v="2"/>
    <n v="1"/>
    <n v="2"/>
    <n v="1"/>
    <n v="7"/>
  </r>
  <r>
    <n v="0"/>
    <x v="94"/>
    <s v="yes tested"/>
    <s v="base"/>
    <s v="CPAMSCAP"/>
    <n v="1"/>
    <n v="1"/>
    <s v="Base Pams"/>
    <n v="1"/>
    <n v="1"/>
    <n v="2"/>
    <n v="2"/>
    <n v="1"/>
    <n v="2"/>
    <n v="1"/>
    <n v="6.75"/>
  </r>
  <r>
    <n v="0"/>
    <x v="95"/>
    <s v="yes tested"/>
    <s v="base"/>
    <s v="CPAMSCAP"/>
    <n v="1"/>
    <n v="1"/>
    <s v="Base Pams"/>
    <n v="1"/>
    <n v="1"/>
    <n v="2"/>
    <n v="2"/>
    <n v="1"/>
    <n v="2"/>
    <n v="1"/>
    <n v="6.5"/>
  </r>
  <r>
    <n v="0"/>
    <x v="96"/>
    <s v="yes tested"/>
    <s v="base"/>
    <s v="CPAMSCAPIRP"/>
    <n v="1"/>
    <n v="1"/>
    <s v="Base Pams"/>
    <n v="1"/>
    <n v="1"/>
    <n v="2"/>
    <n v="2"/>
    <n v="1"/>
    <n v="2"/>
    <n v="1"/>
    <n v="6.5"/>
  </r>
  <r>
    <n v="0"/>
    <x v="97"/>
    <s v="yes tested"/>
    <s v="base"/>
    <s v="CPAMSCAPIRPN"/>
    <n v="1"/>
    <n v="1"/>
    <s v="Base Pams"/>
    <n v="1"/>
    <n v="1"/>
    <n v="2"/>
    <n v="2"/>
    <n v="1"/>
    <n v="2"/>
    <n v="1"/>
    <n v="6.5"/>
  </r>
  <r>
    <n v="0"/>
    <x v="98"/>
    <s v="yes tested"/>
    <s v="base"/>
    <s v="CPAMSCAP"/>
    <n v="1"/>
    <n v="1"/>
    <s v="Base Pams"/>
    <n v="1"/>
    <n v="1"/>
    <n v="2"/>
    <n v="2"/>
    <n v="1"/>
    <n v="2"/>
    <n v="1"/>
    <n v="6.25"/>
  </r>
  <r>
    <n v="0"/>
    <x v="99"/>
    <s v="yes tested"/>
    <s v="base"/>
    <s v="CPAMSCAP"/>
    <n v="1"/>
    <n v="1"/>
    <s v="Base Pams"/>
    <n v="1"/>
    <n v="1"/>
    <n v="2"/>
    <n v="2"/>
    <n v="1"/>
    <n v="2"/>
    <n v="1"/>
    <n v="6"/>
  </r>
  <r>
    <n v="0"/>
    <x v="100"/>
    <s v="yes tested"/>
    <s v="base"/>
    <s v="CPAMSCAPIRP"/>
    <n v="1"/>
    <n v="1"/>
    <s v="Base Pams"/>
    <n v="1"/>
    <n v="1"/>
    <n v="2"/>
    <n v="2"/>
    <n v="1"/>
    <n v="2"/>
    <n v="1"/>
    <n v="6"/>
  </r>
  <r>
    <n v="0"/>
    <x v="101"/>
    <s v="yes tested"/>
    <s v="base"/>
    <s v="CPAMSCAP"/>
    <n v="1"/>
    <n v="1"/>
    <s v="Base Pams"/>
    <n v="1"/>
    <n v="1"/>
    <n v="2"/>
    <n v="2"/>
    <n v="1"/>
    <n v="2"/>
    <n v="1"/>
    <n v="5.75"/>
  </r>
  <r>
    <n v="0"/>
    <x v="102"/>
    <s v="yes tested"/>
    <s v="base"/>
    <s v="NOPAMS_EXP"/>
    <n v="0"/>
    <n v="0"/>
    <s v="No Pams"/>
    <n v="1"/>
    <n v="1"/>
    <n v="-1"/>
    <n v="-1"/>
    <n v="-1"/>
    <n v="1"/>
    <n v="-1"/>
    <m/>
  </r>
  <r>
    <n v="0"/>
    <x v="103"/>
    <s v="yes tested"/>
    <s v="base"/>
    <s v="NZ-REF"/>
    <n v="0"/>
    <n v="1"/>
    <s v="No Pams"/>
    <n v="1"/>
    <n v="1"/>
    <n v="-1"/>
    <n v="-1"/>
    <n v="-1"/>
    <n v="1"/>
    <n v="1"/>
    <m/>
  </r>
  <r>
    <n v="0"/>
    <x v="104"/>
    <s v="yes tested"/>
    <s v="base"/>
    <s v="NZ-REF-OC"/>
    <n v="0"/>
    <n v="0"/>
    <s v="No Pams"/>
    <n v="1"/>
    <n v="1"/>
    <n v="-1"/>
    <n v="-1"/>
    <n v="-1"/>
    <n v="1"/>
    <n v="-1"/>
    <m/>
  </r>
  <r>
    <n v="0"/>
    <x v="105"/>
    <s v="yes tested"/>
    <s v="base"/>
    <s v="NZ-REF-FC"/>
    <n v="1"/>
    <n v="1"/>
    <s v="No Pams"/>
    <n v="1"/>
    <n v="1"/>
    <n v="-1"/>
    <n v="-1"/>
    <n v="-1"/>
    <n v="1"/>
    <n v="-1"/>
    <m/>
  </r>
  <r>
    <n v="0"/>
    <x v="106"/>
    <s v="yes tested"/>
    <s v="base"/>
    <s v="NZ-REF-FCOC"/>
    <n v="1"/>
    <n v="1"/>
    <s v="No Pams"/>
    <n v="1"/>
    <n v="1"/>
    <n v="-1"/>
    <n v="-1"/>
    <n v="-1"/>
    <n v="1"/>
    <n v="-1"/>
    <m/>
  </r>
  <r>
    <n v="0"/>
    <x v="107"/>
    <s v="yes tested"/>
    <s v="base"/>
    <s v="NZ-REF"/>
    <n v="0"/>
    <n v="0"/>
    <s v="No Pams"/>
    <n v="1"/>
    <n v="1"/>
    <n v="-1"/>
    <n v="-1"/>
    <n v="-1"/>
    <n v="1"/>
    <n v="1"/>
    <m/>
  </r>
  <r>
    <n v="0"/>
    <x v="108"/>
    <s v="yes tested"/>
    <s v="base"/>
    <s v="CO2ACAP350"/>
    <n v="0"/>
    <n v="0"/>
    <s v="No Pams"/>
    <n v="1"/>
    <n v="1"/>
    <n v="-1"/>
    <n v="-1"/>
    <n v="-1"/>
    <n v="1"/>
    <n v="1"/>
    <m/>
  </r>
  <r>
    <n v="0"/>
    <x v="109"/>
    <s v="yes tested"/>
    <s v="base"/>
    <s v="CO2ACAP280"/>
    <n v="0"/>
    <n v="0"/>
    <s v="No Pams"/>
    <n v="1"/>
    <n v="1"/>
    <n v="-1"/>
    <n v="-1"/>
    <n v="-1"/>
    <n v="1"/>
    <n v="1"/>
    <m/>
  </r>
  <r>
    <n v="1"/>
    <x v="110"/>
    <s v="yes tested"/>
    <s v="base"/>
    <s v="NOPAMSCAP"/>
    <n v="0"/>
    <n v="0"/>
    <s v="No Pams"/>
    <n v="1"/>
    <n v="1"/>
    <n v="-1"/>
    <n v="-1"/>
    <n v="-1"/>
    <n v="1"/>
    <n v="-1"/>
    <n v="99"/>
  </r>
  <r>
    <n v="1"/>
    <x v="111"/>
    <s v="yes tested"/>
    <s v="base"/>
    <s v="NOPAMSCAPFC"/>
    <n v="0"/>
    <n v="0"/>
    <s v="No Pams"/>
    <n v="1"/>
    <n v="1"/>
    <n v="-1"/>
    <n v="-1"/>
    <n v="-1"/>
    <n v="1"/>
    <n v="-1"/>
    <n v="99"/>
  </r>
  <r>
    <n v="1"/>
    <x v="112"/>
    <s v="yes tested"/>
    <s v="base"/>
    <s v="NOPAMSCAPHE"/>
    <n v="0"/>
    <n v="0"/>
    <s v="No Pams"/>
    <n v="1"/>
    <n v="1"/>
    <n v="-1"/>
    <n v="-1"/>
    <n v="-1"/>
    <n v="1"/>
    <n v="-1"/>
    <n v="99"/>
  </r>
  <r>
    <n v="1"/>
    <x v="113"/>
    <s v="yes tested"/>
    <s v="base"/>
    <s v="NOPAMSCAPFCH"/>
    <n v="0"/>
    <n v="0"/>
    <s v="No Pams"/>
    <n v="1"/>
    <n v="1"/>
    <n v="-1"/>
    <n v="-1"/>
    <n v="-1"/>
    <n v="1"/>
    <n v="-1"/>
    <n v="99"/>
  </r>
  <r>
    <n v="1"/>
    <x v="114"/>
    <s v="yes tested"/>
    <s v="base"/>
    <s v="NOPAMSCAPOC"/>
    <n v="0"/>
    <n v="0"/>
    <s v="No Pams"/>
    <n v="1"/>
    <n v="1"/>
    <n v="-1"/>
    <n v="-1"/>
    <n v="-1"/>
    <n v="1"/>
    <n v="-1"/>
    <n v="99"/>
  </r>
  <r>
    <n v="1"/>
    <x v="115"/>
    <s v="yes tested"/>
    <s v="base"/>
    <s v="NOPAMSCAPFCO"/>
    <n v="0"/>
    <n v="0"/>
    <s v="No Pams"/>
    <n v="1"/>
    <n v="1"/>
    <n v="-1"/>
    <n v="-1"/>
    <n v="-1"/>
    <n v="1"/>
    <n v="-1"/>
    <n v="99"/>
  </r>
  <r>
    <n v="1"/>
    <x v="116"/>
    <s v="yes tested"/>
    <s v="base"/>
    <s v="NOPAMSCAP"/>
    <n v="1"/>
    <n v="1"/>
    <s v="No Pams"/>
    <n v="1"/>
    <n v="1"/>
    <n v="-1"/>
    <n v="-1"/>
    <n v="-1"/>
    <n v="1"/>
    <n v="-1"/>
    <n v="99"/>
  </r>
  <r>
    <n v="1"/>
    <x v="117"/>
    <s v="yes tested"/>
    <s v="base"/>
    <s v="NOPAMSCAPFC"/>
    <n v="1"/>
    <n v="1"/>
    <s v="No Pams"/>
    <n v="1"/>
    <n v="1"/>
    <n v="-1"/>
    <n v="-1"/>
    <n v="-1"/>
    <n v="1"/>
    <n v="-1"/>
    <n v="99"/>
  </r>
  <r>
    <n v="1"/>
    <x v="118"/>
    <s v="yes tested"/>
    <s v="base"/>
    <s v="NOPAMCAPIRPL"/>
    <n v="0"/>
    <n v="0"/>
    <s v="No Pams"/>
    <n v="1"/>
    <n v="1"/>
    <n v="-1"/>
    <n v="-1"/>
    <n v="-1"/>
    <n v="1"/>
    <n v="-1"/>
    <n v="99"/>
  </r>
  <r>
    <n v="1"/>
    <x v="119"/>
    <s v="yes tested"/>
    <s v="base"/>
    <s v="NOPAMCAPIRPF"/>
    <n v="0"/>
    <n v="0"/>
    <s v="No Pams"/>
    <n v="1"/>
    <n v="1"/>
    <n v="-1"/>
    <n v="-1"/>
    <n v="-1"/>
    <n v="1"/>
    <n v="-1"/>
    <n v="99"/>
  </r>
  <r>
    <n v="0"/>
    <x v="120"/>
    <s v="yes tested"/>
    <s v="base"/>
    <s v="NOPAMCAPIRPL"/>
    <n v="1"/>
    <n v="0"/>
    <s v="No Pams"/>
    <n v="1"/>
    <n v="1"/>
    <n v="-1"/>
    <n v="-1"/>
    <n v="-1"/>
    <n v="1"/>
    <n v="-1"/>
    <n v="99"/>
  </r>
  <r>
    <n v="0"/>
    <x v="121"/>
    <s v="yes tested"/>
    <s v="base"/>
    <s v="NOPAMCAPIRPF"/>
    <n v="0"/>
    <n v="0"/>
    <s v="No Pams"/>
    <n v="1"/>
    <n v="1"/>
    <n v="-1"/>
    <n v="-1"/>
    <n v="-1"/>
    <n v="1"/>
    <n v="-1"/>
    <n v="99"/>
  </r>
  <r>
    <n v="0"/>
    <x v="122"/>
    <s v="yes tested"/>
    <s v="base"/>
    <s v="NOPAMSCAP"/>
    <n v="1"/>
    <n v="0"/>
    <s v="No Pams"/>
    <n v="1"/>
    <n v="1"/>
    <n v="-1"/>
    <n v="-1"/>
    <n v="-1"/>
    <n v="1"/>
    <n v="-1"/>
    <n v="7"/>
  </r>
  <r>
    <n v="0"/>
    <x v="123"/>
    <s v="yes tested"/>
    <s v="base"/>
    <s v="NOPAMSCAPFC"/>
    <n v="1"/>
    <n v="0"/>
    <s v="No Pams"/>
    <n v="1"/>
    <n v="1"/>
    <n v="-1"/>
    <n v="-1"/>
    <n v="-1"/>
    <n v="1"/>
    <n v="-1"/>
    <n v="7"/>
  </r>
  <r>
    <n v="1"/>
    <x v="124"/>
    <s v="yes tested"/>
    <s v="base"/>
    <s v="CPAMSCAP"/>
    <n v="0"/>
    <n v="0"/>
    <s v="No Pams"/>
    <n v="1"/>
    <n v="1"/>
    <n v="-1"/>
    <n v="-1"/>
    <n v="-1"/>
    <n v="1"/>
    <n v="-1"/>
    <n v="7"/>
  </r>
  <r>
    <n v="1"/>
    <x v="125"/>
    <s v="yes tested"/>
    <s v="base"/>
    <s v="CPAMSCAPFC"/>
    <n v="1"/>
    <n v="0"/>
    <s v="No Pams"/>
    <n v="1"/>
    <n v="1"/>
    <n v="-1"/>
    <n v="-1"/>
    <n v="-1"/>
    <n v="1"/>
    <n v="-1"/>
    <n v="7"/>
  </r>
  <r>
    <n v="0"/>
    <x v="126"/>
    <s v="yes tested"/>
    <s v="base"/>
    <s v="CPAMSCAP"/>
    <n v="1"/>
    <n v="0"/>
    <s v="No Pams"/>
    <n v="1"/>
    <n v="1"/>
    <n v="-1"/>
    <n v="-1"/>
    <n v="-1"/>
    <n v="1"/>
    <n v="-1"/>
    <n v="7"/>
  </r>
  <r>
    <n v="0"/>
    <x v="127"/>
    <s v="yes tested"/>
    <s v="base"/>
    <s v="CPAMSCAPFC"/>
    <n v="1"/>
    <n v="0"/>
    <s v="No Pams"/>
    <n v="1"/>
    <n v="1"/>
    <n v="-1"/>
    <n v="-1"/>
    <n v="-1"/>
    <n v="1"/>
    <n v="-1"/>
    <n v="7"/>
  </r>
  <r>
    <n v="0"/>
    <x v="128"/>
    <s v="yes tested"/>
    <s v="base"/>
    <s v="NZ-CO2S2050"/>
    <n v="0"/>
    <n v="0"/>
    <s v="No Pams"/>
    <n v="1"/>
    <n v="1"/>
    <n v="-1"/>
    <n v="-1"/>
    <n v="-1"/>
    <n v="1"/>
    <n v="-1"/>
    <m/>
  </r>
  <r>
    <n v="0"/>
    <x v="129"/>
    <s v="yes tested"/>
    <s v="base"/>
    <s v="IRPRE"/>
    <n v="1"/>
    <n v="1"/>
    <s v="No Pams"/>
    <n v="1"/>
    <n v="1"/>
    <n v="-1"/>
    <n v="-1"/>
    <n v="-1"/>
    <n v="1"/>
    <n v="-1"/>
    <m/>
  </r>
  <r>
    <n v="0"/>
    <x v="130"/>
    <s v="yes tested"/>
    <s v="base"/>
    <s v="IRPRE-01P"/>
    <n v="1"/>
    <n v="1"/>
    <s v="No Pams"/>
    <n v="1"/>
    <n v="1"/>
    <n v="-1"/>
    <n v="-1"/>
    <n v="-1"/>
    <n v="1"/>
    <n v="-1"/>
    <m/>
  </r>
  <r>
    <n v="0"/>
    <x v="131"/>
    <s v="yes tested"/>
    <s v="base"/>
    <s v="IRPRE-05P"/>
    <n v="1"/>
    <n v="1"/>
    <s v="No Pams"/>
    <n v="1"/>
    <n v="1"/>
    <n v="-1"/>
    <n v="-1"/>
    <n v="-1"/>
    <n v="1"/>
    <n v="-1"/>
    <m/>
  </r>
  <r>
    <n v="0"/>
    <x v="132"/>
    <s v="yes tested"/>
    <s v="base"/>
    <s v="IRPRE-10P"/>
    <n v="1"/>
    <n v="1"/>
    <s v="No Pams"/>
    <n v="1"/>
    <n v="1"/>
    <n v="-1"/>
    <n v="-1"/>
    <n v="-1"/>
    <n v="1"/>
    <n v="-1"/>
    <m/>
  </r>
  <r>
    <n v="0"/>
    <x v="133"/>
    <s v="yes tested"/>
    <s v="base"/>
    <s v="IRPRE-25P"/>
    <n v="1"/>
    <n v="1"/>
    <s v="No Pams"/>
    <n v="1"/>
    <n v="1"/>
    <n v="-1"/>
    <n v="-1"/>
    <n v="-1"/>
    <n v="1"/>
    <n v="-1"/>
    <m/>
  </r>
  <r>
    <n v="0"/>
    <x v="134"/>
    <s v="yes tested"/>
    <s v="base"/>
    <s v="IRPRE-50P"/>
    <n v="1"/>
    <n v="1"/>
    <s v="No Pams"/>
    <n v="1"/>
    <n v="1"/>
    <n v="-1"/>
    <n v="-1"/>
    <n v="-1"/>
    <n v="1"/>
    <n v="-1"/>
    <m/>
  </r>
  <r>
    <n v="0"/>
    <x v="135"/>
    <s v="yes tested"/>
    <s v="base"/>
    <s v="NZ-REF"/>
    <n v="1"/>
    <n v="1"/>
    <s v="No Pams"/>
    <n v="1"/>
    <n v="1"/>
    <n v="-1"/>
    <n v="-1"/>
    <n v="-1"/>
    <n v="1"/>
    <n v="-1"/>
    <m/>
  </r>
  <r>
    <n v="0"/>
    <x v="136"/>
    <s v="yes tested"/>
    <s v="base"/>
    <s v="NZ-REF-01P"/>
    <n v="1"/>
    <n v="1"/>
    <s v="No Pams"/>
    <n v="1"/>
    <n v="1"/>
    <n v="-1"/>
    <n v="-1"/>
    <n v="-1"/>
    <n v="1"/>
    <n v="-1"/>
    <m/>
  </r>
  <r>
    <n v="0"/>
    <x v="137"/>
    <s v="yes tested"/>
    <s v="base"/>
    <s v="NZ-REF-05P"/>
    <n v="1"/>
    <n v="1"/>
    <s v="No Pams"/>
    <n v="1"/>
    <n v="1"/>
    <n v="-1"/>
    <n v="-1"/>
    <n v="-1"/>
    <n v="1"/>
    <n v="-1"/>
    <m/>
  </r>
  <r>
    <n v="0"/>
    <x v="138"/>
    <s v="yes tested"/>
    <s v="base"/>
    <s v="NZ-REF-10P"/>
    <n v="1"/>
    <n v="1"/>
    <s v="No Pams"/>
    <n v="1"/>
    <n v="1"/>
    <n v="-1"/>
    <n v="-1"/>
    <n v="-1"/>
    <n v="1"/>
    <n v="-1"/>
    <m/>
  </r>
  <r>
    <n v="0"/>
    <x v="139"/>
    <s v="yes tested"/>
    <s v="base"/>
    <s v="NZ-REF-25P"/>
    <n v="1"/>
    <n v="1"/>
    <s v="No Pams"/>
    <n v="1"/>
    <n v="1"/>
    <n v="-1"/>
    <n v="-1"/>
    <n v="-1"/>
    <n v="1"/>
    <n v="-1"/>
    <m/>
  </r>
  <r>
    <n v="0"/>
    <x v="140"/>
    <s v="yes tested"/>
    <s v="base"/>
    <s v="NZ-REF-50P"/>
    <n v="1"/>
    <n v="1"/>
    <s v="No Pams"/>
    <n v="1"/>
    <n v="1"/>
    <n v="-1"/>
    <n v="-1"/>
    <n v="-1"/>
    <n v="1"/>
    <n v="-1"/>
    <m/>
  </r>
  <r>
    <n v="0"/>
    <x v="141"/>
    <s v="yes tested"/>
    <s v="base"/>
    <s v="NOPAMS_NF"/>
    <n v="1"/>
    <n v="1"/>
    <s v="No Pams"/>
    <n v="1"/>
    <n v="1"/>
    <n v="-1"/>
    <n v="-1"/>
    <n v="-1"/>
    <n v="1"/>
    <n v="-1"/>
    <m/>
  </r>
  <r>
    <n v="0"/>
    <x v="142"/>
    <s v="yes tested"/>
    <s v="base"/>
    <s v="NOPAMSFGDA"/>
    <n v="0"/>
    <n v="0"/>
    <s v="No Pams"/>
    <n v="1"/>
    <n v="1"/>
    <n v="-1"/>
    <n v="-1"/>
    <n v="-1"/>
    <n v="1"/>
    <n v="-1"/>
    <m/>
  </r>
  <r>
    <n v="0"/>
    <x v="143"/>
    <s v="yes tested"/>
    <s v="base"/>
    <s v="NOPAMSFGDAIL"/>
    <n v="0"/>
    <n v="0"/>
    <s v="No Pams"/>
    <n v="1"/>
    <n v="1"/>
    <n v="-1"/>
    <n v="-1"/>
    <n v="-1"/>
    <n v="1"/>
    <n v="-1"/>
    <m/>
  </r>
  <r>
    <n v="0"/>
    <x v="144"/>
    <s v="yes tested"/>
    <s v="base"/>
    <s v="NOPAMSFGDB1"/>
    <n v="0"/>
    <n v="0"/>
    <s v="No Pams"/>
    <n v="1"/>
    <n v="1"/>
    <n v="-1"/>
    <n v="-1"/>
    <n v="-1"/>
    <n v="1"/>
    <n v="-1"/>
    <m/>
  </r>
  <r>
    <n v="0"/>
    <x v="145"/>
    <s v="yes tested"/>
    <s v="base"/>
    <s v="NOPAMSFGDB2"/>
    <n v="0"/>
    <n v="0"/>
    <s v="No Pams"/>
    <n v="1"/>
    <n v="1"/>
    <n v="-1"/>
    <n v="-1"/>
    <n v="-1"/>
    <n v="1"/>
    <n v="-1"/>
    <m/>
  </r>
  <r>
    <n v="0"/>
    <x v="146"/>
    <s v="yes tested"/>
    <s v="base"/>
    <s v="NOPAMSFGDB3"/>
    <n v="0"/>
    <n v="0"/>
    <s v="No Pams"/>
    <n v="1"/>
    <n v="1"/>
    <n v="-1"/>
    <n v="-1"/>
    <n v="-1"/>
    <n v="1"/>
    <n v="-1"/>
    <m/>
  </r>
  <r>
    <n v="0"/>
    <x v="147"/>
    <s v="yes tested"/>
    <s v="base"/>
    <s v="NOPAMSFGDC1"/>
    <n v="0"/>
    <n v="0"/>
    <s v="No Pams"/>
    <n v="1"/>
    <n v="1"/>
    <n v="-1"/>
    <n v="-1"/>
    <n v="-1"/>
    <n v="1"/>
    <n v="-1"/>
    <m/>
  </r>
  <r>
    <n v="0"/>
    <x v="148"/>
    <s v="yes tested"/>
    <s v="base"/>
    <s v="NOPAMSFGDC2"/>
    <n v="0"/>
    <n v="0"/>
    <s v="No Pams"/>
    <n v="1"/>
    <n v="1"/>
    <n v="-1"/>
    <n v="-1"/>
    <n v="-1"/>
    <n v="1"/>
    <n v="-1"/>
    <m/>
  </r>
  <r>
    <n v="0"/>
    <x v="149"/>
    <s v="yes tested"/>
    <s v="base"/>
    <s v="NOPAMSFGDC3"/>
    <n v="0"/>
    <n v="0"/>
    <s v="No Pams"/>
    <n v="1"/>
    <n v="1"/>
    <n v="-1"/>
    <n v="-1"/>
    <n v="-1"/>
    <n v="1"/>
    <n v="-1"/>
    <m/>
  </r>
  <r>
    <n v="0"/>
    <x v="150"/>
    <s v="yes tested"/>
    <s v="base"/>
    <s v="NOPAMS_NF_LF"/>
    <n v="1"/>
    <n v="1"/>
    <s v="No Pams"/>
    <n v="1"/>
    <n v="1"/>
    <n v="-1"/>
    <n v="-1"/>
    <n v="-1"/>
    <n v="1"/>
    <n v="-1"/>
    <m/>
  </r>
  <r>
    <n v="0"/>
    <x v="151"/>
    <s v="yes tested"/>
    <s v="sim1"/>
    <s v="NOPAMS_NF_LF"/>
    <n v="1"/>
    <n v="1"/>
    <s v="No Pams"/>
    <n v="1"/>
    <n v="1"/>
    <n v="-1"/>
    <n v="-1"/>
    <n v="-1"/>
    <n v="1"/>
    <n v="-1"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  <r>
    <m/>
    <x v="152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K6:L159" firstHeaderRow="1" firstDataRow="1" firstDataCol="1"/>
  <pivotFields count="16">
    <pivotField showAll="0"/>
    <pivotField axis="axisRow" showAll="0">
      <items count="155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B6:B71" firstHeaderRow="1" firstDataRow="1" firstDataCol="1"/>
  <pivotFields count="16">
    <pivotField showAll="0"/>
    <pivotField showAll="0"/>
    <pivotField showAll="0"/>
    <pivotField showAll="0"/>
    <pivotField axis="axisRow" showAll="0">
      <items count="90">
        <item m="1" x="81"/>
        <item m="1" x="73"/>
        <item m="1" x="70"/>
        <item x="64"/>
        <item m="1" x="72"/>
        <item m="1" x="67"/>
        <item x="11"/>
        <item m="1" x="82"/>
        <item m="1" x="71"/>
        <item x="17"/>
        <item x="21"/>
        <item m="1" x="69"/>
        <item m="1" x="66"/>
        <item m="1" x="77"/>
        <item m="1" x="65"/>
        <item m="1" x="88"/>
        <item m="1" x="68"/>
        <item x="6"/>
        <item x="7"/>
        <item x="18"/>
        <item x="4"/>
        <item m="1" x="84"/>
        <item m="1" x="78"/>
        <item x="20"/>
        <item x="19"/>
        <item x="12"/>
        <item x="13"/>
        <item x="14"/>
        <item x="16"/>
        <item x="15"/>
        <item x="23"/>
        <item m="1" x="87"/>
        <item m="1" x="74"/>
        <item x="0"/>
        <item x="24"/>
        <item x="25"/>
        <item x="26"/>
        <item m="1" x="80"/>
        <item x="27"/>
        <item m="1" x="86"/>
        <item x="5"/>
        <item x="28"/>
        <item m="1" x="79"/>
        <item m="1" x="83"/>
        <item m="1" x="85"/>
        <item x="54"/>
        <item x="63"/>
        <item m="1" x="75"/>
        <item x="29"/>
        <item x="42"/>
        <item x="30"/>
        <item x="31"/>
        <item x="32"/>
        <item x="43"/>
        <item m="1" x="76"/>
        <item x="47"/>
        <item x="48"/>
        <item x="52"/>
        <item x="53"/>
        <item x="49"/>
        <item x="50"/>
        <item x="51"/>
        <item x="44"/>
        <item x="45"/>
        <item x="46"/>
        <item x="34"/>
        <item x="33"/>
        <item x="8"/>
        <item x="10"/>
        <item x="3"/>
        <item x="1"/>
        <item x="9"/>
        <item x="22"/>
        <item x="2"/>
        <item x="35"/>
        <item x="41"/>
        <item x="40"/>
        <item x="55"/>
        <item x="57"/>
        <item x="58"/>
        <item x="59"/>
        <item x="60"/>
        <item x="61"/>
        <item x="62"/>
        <item x="56"/>
        <item x="36"/>
        <item x="37"/>
        <item x="38"/>
        <item x="3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65">
    <i>
      <x v="3"/>
    </i>
    <i>
      <x v="6"/>
    </i>
    <i>
      <x v="9"/>
    </i>
    <i>
      <x v="10"/>
    </i>
    <i>
      <x v="17"/>
    </i>
    <i>
      <x v="18"/>
    </i>
    <i>
      <x v="19"/>
    </i>
    <i>
      <x v="20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3"/>
    </i>
    <i>
      <x v="34"/>
    </i>
    <i>
      <x v="35"/>
    </i>
    <i>
      <x v="36"/>
    </i>
    <i>
      <x v="38"/>
    </i>
    <i>
      <x v="40"/>
    </i>
    <i>
      <x v="41"/>
    </i>
    <i>
      <x v="45"/>
    </i>
    <i>
      <x v="46"/>
    </i>
    <i>
      <x v="48"/>
    </i>
    <i>
      <x v="49"/>
    </i>
    <i>
      <x v="50"/>
    </i>
    <i>
      <x v="51"/>
    </i>
    <i>
      <x v="52"/>
    </i>
    <i>
      <x v="53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Q6:R15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4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3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153">
    <i>
      <x/>
      <x v="2"/>
    </i>
    <i>
      <x v="1"/>
      <x/>
    </i>
    <i>
      <x v="2"/>
      <x v="3"/>
    </i>
    <i>
      <x v="3"/>
      <x v="3"/>
    </i>
    <i>
      <x v="4"/>
      <x/>
    </i>
    <i>
      <x v="5"/>
      <x/>
    </i>
    <i>
      <x v="6"/>
      <x v="3"/>
    </i>
    <i>
      <x v="7"/>
      <x/>
    </i>
    <i>
      <x v="8"/>
      <x/>
    </i>
    <i>
      <x v="9"/>
      <x/>
    </i>
    <i>
      <x v="10"/>
      <x v="3"/>
    </i>
    <i>
      <x v="11"/>
      <x v="3"/>
    </i>
    <i>
      <x v="12"/>
      <x v="3"/>
    </i>
    <i>
      <x v="13"/>
      <x/>
    </i>
    <i>
      <x v="14"/>
      <x/>
    </i>
    <i>
      <x v="15"/>
      <x/>
    </i>
    <i>
      <x v="16"/>
      <x/>
    </i>
    <i>
      <x v="17"/>
      <x/>
    </i>
    <i>
      <x v="18"/>
      <x v="3"/>
    </i>
    <i>
      <x v="19"/>
      <x v="3"/>
    </i>
    <i>
      <x v="20"/>
      <x/>
    </i>
    <i>
      <x v="21"/>
      <x/>
    </i>
    <i>
      <x v="22"/>
      <x/>
    </i>
    <i>
      <x v="23"/>
      <x v="3"/>
    </i>
    <i>
      <x v="24"/>
      <x v="3"/>
    </i>
    <i>
      <x v="25"/>
      <x/>
    </i>
    <i>
      <x v="26"/>
      <x/>
    </i>
    <i>
      <x v="27"/>
      <x v="3"/>
    </i>
    <i>
      <x v="28"/>
      <x v="3"/>
    </i>
    <i>
      <x v="29"/>
      <x v="3"/>
    </i>
    <i>
      <x v="30"/>
      <x/>
    </i>
    <i>
      <x v="31"/>
      <x/>
    </i>
    <i>
      <x v="32"/>
      <x/>
    </i>
    <i>
      <x v="33"/>
      <x/>
    </i>
    <i>
      <x v="34"/>
      <x/>
    </i>
    <i>
      <x v="35"/>
      <x/>
    </i>
    <i>
      <x v="36"/>
      <x/>
    </i>
    <i>
      <x v="37"/>
      <x/>
    </i>
    <i>
      <x v="38"/>
      <x/>
    </i>
    <i>
      <x v="39"/>
      <x v="3"/>
    </i>
    <i>
      <x v="40"/>
      <x/>
    </i>
    <i>
      <x v="41"/>
      <x/>
    </i>
    <i>
      <x v="42"/>
      <x/>
    </i>
    <i>
      <x v="43"/>
      <x/>
    </i>
    <i>
      <x v="44"/>
      <x/>
    </i>
    <i>
      <x v="45"/>
      <x/>
    </i>
    <i>
      <x v="46"/>
      <x/>
    </i>
    <i>
      <x v="47"/>
      <x/>
    </i>
    <i>
      <x v="48"/>
      <x/>
    </i>
    <i>
      <x v="49"/>
      <x/>
    </i>
    <i>
      <x v="50"/>
      <x/>
    </i>
    <i>
      <x v="51"/>
      <x/>
    </i>
    <i>
      <x v="52"/>
      <x/>
    </i>
    <i>
      <x v="53"/>
      <x/>
    </i>
    <i>
      <x v="54"/>
      <x/>
    </i>
    <i>
      <x v="55"/>
      <x/>
    </i>
    <i>
      <x v="56"/>
      <x/>
    </i>
    <i>
      <x v="57"/>
      <x/>
    </i>
    <i>
      <x v="58"/>
      <x/>
    </i>
    <i>
      <x v="59"/>
      <x/>
    </i>
    <i>
      <x v="60"/>
      <x/>
    </i>
    <i>
      <x v="61"/>
      <x/>
    </i>
    <i>
      <x v="62"/>
      <x/>
    </i>
    <i>
      <x v="63"/>
      <x/>
    </i>
    <i>
      <x v="64"/>
      <x/>
    </i>
    <i>
      <x v="65"/>
      <x/>
    </i>
    <i>
      <x v="66"/>
      <x/>
    </i>
    <i>
      <x v="67"/>
      <x/>
    </i>
    <i>
      <x v="68"/>
      <x/>
    </i>
    <i>
      <x v="69"/>
      <x/>
    </i>
    <i>
      <x v="70"/>
      <x/>
    </i>
    <i>
      <x v="71"/>
      <x/>
    </i>
    <i>
      <x v="72"/>
      <x/>
    </i>
    <i>
      <x v="73"/>
      <x/>
    </i>
    <i>
      <x v="74"/>
      <x/>
    </i>
    <i>
      <x v="75"/>
      <x/>
    </i>
    <i>
      <x v="76"/>
      <x/>
    </i>
    <i>
      <x v="77"/>
      <x/>
    </i>
    <i>
      <x v="78"/>
      <x/>
    </i>
    <i>
      <x v="79"/>
      <x/>
    </i>
    <i>
      <x v="80"/>
      <x v="3"/>
    </i>
    <i>
      <x v="81"/>
      <x v="3"/>
    </i>
    <i>
      <x v="82"/>
      <x/>
    </i>
    <i>
      <x v="83"/>
      <x v="3"/>
    </i>
    <i>
      <x v="84"/>
      <x v="3"/>
    </i>
    <i>
      <x v="85"/>
      <x v="3"/>
    </i>
    <i>
      <x v="86"/>
      <x/>
    </i>
    <i>
      <x v="87"/>
      <x/>
    </i>
    <i>
      <x v="88"/>
      <x v="3"/>
    </i>
    <i>
      <x v="89"/>
      <x v="3"/>
    </i>
    <i>
      <x v="90"/>
      <x v="3"/>
    </i>
    <i>
      <x v="91"/>
      <x/>
    </i>
    <i>
      <x v="92"/>
      <x v="3"/>
    </i>
    <i>
      <x v="93"/>
      <x/>
    </i>
    <i>
      <x v="94"/>
      <x/>
    </i>
    <i>
      <x v="95"/>
      <x/>
    </i>
    <i>
      <x v="96"/>
      <x/>
    </i>
    <i>
      <x v="97"/>
      <x/>
    </i>
    <i>
      <x v="98"/>
      <x v="3"/>
    </i>
    <i>
      <x v="99"/>
      <x v="3"/>
    </i>
    <i>
      <x v="100"/>
      <x v="3"/>
    </i>
    <i>
      <x v="101"/>
      <x v="3"/>
    </i>
    <i>
      <x v="102"/>
      <x v="3"/>
    </i>
    <i>
      <x v="103"/>
      <x v="3"/>
    </i>
    <i>
      <x v="104"/>
      <x v="3"/>
    </i>
    <i>
      <x v="105"/>
      <x v="3"/>
    </i>
    <i>
      <x v="106"/>
      <x v="3"/>
    </i>
    <i>
      <x v="107"/>
      <x v="3"/>
    </i>
    <i>
      <x v="108"/>
      <x/>
    </i>
    <i>
      <x v="109"/>
      <x v="3"/>
    </i>
    <i>
      <x v="110"/>
      <x v="3"/>
    </i>
    <i>
      <x v="111"/>
      <x v="3"/>
    </i>
    <i>
      <x v="112"/>
      <x v="3"/>
    </i>
    <i>
      <x v="113"/>
      <x v="3"/>
    </i>
    <i>
      <x v="114"/>
      <x v="3"/>
    </i>
    <i>
      <x v="115"/>
      <x v="3"/>
    </i>
    <i>
      <x v="116"/>
      <x v="3"/>
    </i>
    <i>
      <x v="117"/>
      <x/>
    </i>
    <i>
      <x v="118"/>
      <x/>
    </i>
    <i>
      <x v="119"/>
      <x/>
    </i>
    <i>
      <x v="120"/>
      <x/>
    </i>
    <i>
      <x v="121"/>
      <x v="3"/>
    </i>
    <i>
      <x v="122"/>
      <x/>
    </i>
    <i>
      <x v="123"/>
      <x v="3"/>
    </i>
    <i>
      <x v="124"/>
      <x/>
    </i>
    <i>
      <x v="125"/>
      <x/>
    </i>
    <i>
      <x v="126"/>
      <x v="3"/>
    </i>
    <i>
      <x v="128"/>
      <x/>
    </i>
    <i>
      <x v="129"/>
      <x/>
    </i>
    <i>
      <x v="130"/>
      <x/>
    </i>
    <i>
      <x v="131"/>
      <x/>
    </i>
    <i>
      <x v="132"/>
      <x/>
    </i>
    <i>
      <x v="133"/>
      <x/>
    </i>
    <i>
      <x v="134"/>
      <x/>
    </i>
    <i>
      <x v="135"/>
      <x/>
    </i>
    <i>
      <x v="136"/>
      <x/>
    </i>
    <i>
      <x v="137"/>
      <x/>
    </i>
    <i>
      <x v="138"/>
      <x/>
    </i>
    <i>
      <x v="139"/>
      <x/>
    </i>
    <i>
      <x v="140"/>
      <x/>
    </i>
    <i>
      <x v="141"/>
      <x/>
    </i>
    <i>
      <x v="142"/>
      <x/>
    </i>
    <i>
      <x v="143"/>
      <x/>
    </i>
    <i>
      <x v="144"/>
      <x/>
    </i>
    <i>
      <x v="145"/>
      <x/>
    </i>
    <i>
      <x v="146"/>
      <x/>
    </i>
    <i>
      <x v="147"/>
      <x/>
    </i>
    <i>
      <x v="148"/>
      <x/>
    </i>
    <i>
      <x v="149"/>
      <x/>
    </i>
    <i>
      <x v="150"/>
      <x/>
    </i>
    <i>
      <x v="151"/>
      <x/>
    </i>
    <i>
      <x v="152"/>
      <x/>
    </i>
    <i>
      <x v="153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compact="0" compactData="0" multipleFieldFilters="0">
  <location ref="O6:P15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154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9">
        <item m="1" x="81"/>
        <item m="1" x="73"/>
        <item m="1" x="70"/>
        <item x="64"/>
        <item m="1" x="72"/>
        <item m="1" x="67"/>
        <item x="11"/>
        <item m="1" x="82"/>
        <item m="1" x="71"/>
        <item x="17"/>
        <item x="21"/>
        <item m="1" x="69"/>
        <item m="1" x="66"/>
        <item m="1" x="77"/>
        <item m="1" x="65"/>
        <item m="1" x="88"/>
        <item m="1" x="68"/>
        <item x="6"/>
        <item x="7"/>
        <item x="18"/>
        <item x="4"/>
        <item m="1" x="84"/>
        <item m="1" x="78"/>
        <item x="20"/>
        <item x="19"/>
        <item x="12"/>
        <item x="13"/>
        <item x="14"/>
        <item x="16"/>
        <item x="15"/>
        <item x="23"/>
        <item m="1" x="87"/>
        <item m="1" x="74"/>
        <item x="0"/>
        <item x="24"/>
        <item x="25"/>
        <item x="26"/>
        <item m="1" x="80"/>
        <item x="27"/>
        <item m="1" x="86"/>
        <item x="5"/>
        <item x="28"/>
        <item m="1" x="79"/>
        <item m="1" x="83"/>
        <item m="1" x="85"/>
        <item x="54"/>
        <item x="63"/>
        <item m="1" x="75"/>
        <item x="29"/>
        <item x="42"/>
        <item x="30"/>
        <item x="31"/>
        <item x="32"/>
        <item x="43"/>
        <item m="1" x="76"/>
        <item x="47"/>
        <item x="48"/>
        <item x="52"/>
        <item x="53"/>
        <item x="49"/>
        <item x="50"/>
        <item x="51"/>
        <item x="44"/>
        <item x="45"/>
        <item x="46"/>
        <item x="34"/>
        <item x="33"/>
        <item x="8"/>
        <item x="10"/>
        <item x="3"/>
        <item x="1"/>
        <item x="9"/>
        <item x="22"/>
        <item x="2"/>
        <item x="35"/>
        <item x="41"/>
        <item x="40"/>
        <item x="55"/>
        <item x="57"/>
        <item x="58"/>
        <item x="59"/>
        <item x="60"/>
        <item x="61"/>
        <item x="62"/>
        <item x="56"/>
        <item x="36"/>
        <item x="37"/>
        <item x="38"/>
        <item x="3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153">
    <i>
      <x/>
      <x v="3"/>
    </i>
    <i>
      <x v="1"/>
      <x v="33"/>
    </i>
    <i>
      <x v="2"/>
      <x v="33"/>
    </i>
    <i>
      <x v="3"/>
      <x v="9"/>
    </i>
    <i>
      <x v="4"/>
      <x v="20"/>
    </i>
    <i>
      <x v="5"/>
      <x v="6"/>
    </i>
    <i>
      <x v="6"/>
      <x v="10"/>
    </i>
    <i>
      <x v="7"/>
      <x v="40"/>
    </i>
    <i>
      <x v="8"/>
      <x v="17"/>
    </i>
    <i>
      <x v="9"/>
      <x v="18"/>
    </i>
    <i>
      <x v="10"/>
      <x v="19"/>
    </i>
    <i>
      <x v="11"/>
      <x v="23"/>
    </i>
    <i>
      <x v="12"/>
      <x v="24"/>
    </i>
    <i>
      <x v="13"/>
      <x v="25"/>
    </i>
    <i>
      <x v="14"/>
      <x v="26"/>
    </i>
    <i>
      <x v="15"/>
      <x v="27"/>
    </i>
    <i>
      <x v="16"/>
      <x v="29"/>
    </i>
    <i>
      <x v="17"/>
      <x v="28"/>
    </i>
    <i>
      <x v="18"/>
      <x v="27"/>
    </i>
    <i>
      <x v="19"/>
      <x v="29"/>
    </i>
    <i>
      <x v="20"/>
      <x v="30"/>
    </i>
    <i>
      <x v="21"/>
      <x v="70"/>
    </i>
    <i>
      <x v="22"/>
      <x v="34"/>
    </i>
    <i>
      <x v="23"/>
      <x v="34"/>
    </i>
    <i>
      <x v="24"/>
      <x v="35"/>
    </i>
    <i>
      <x v="25"/>
      <x v="36"/>
    </i>
    <i>
      <x v="26"/>
      <x v="38"/>
    </i>
    <i>
      <x v="27"/>
      <x v="36"/>
    </i>
    <i>
      <x v="28"/>
      <x v="38"/>
    </i>
    <i>
      <x v="29"/>
      <x v="28"/>
    </i>
    <i>
      <x v="30"/>
      <x v="35"/>
    </i>
    <i>
      <x v="31"/>
      <x v="40"/>
    </i>
    <i>
      <x v="32"/>
      <x v="40"/>
    </i>
    <i>
      <x v="33"/>
      <x v="40"/>
    </i>
    <i>
      <x v="34"/>
      <x v="40"/>
    </i>
    <i>
      <x v="35"/>
      <x v="40"/>
    </i>
    <i>
      <x v="36"/>
      <x v="41"/>
    </i>
    <i>
      <x v="37"/>
      <x v="45"/>
    </i>
    <i>
      <x v="38"/>
      <x v="46"/>
    </i>
    <i>
      <x v="39"/>
      <x v="46"/>
    </i>
    <i>
      <x v="40"/>
      <x v="48"/>
    </i>
    <i>
      <x v="41"/>
      <x v="49"/>
    </i>
    <i>
      <x v="42"/>
      <x v="48"/>
    </i>
    <i>
      <x v="43"/>
      <x v="50"/>
    </i>
    <i>
      <x v="44"/>
      <x v="51"/>
    </i>
    <i>
      <x v="45"/>
      <x v="52"/>
    </i>
    <i>
      <x v="46"/>
      <x v="53"/>
    </i>
    <i>
      <x v="47"/>
      <x v="55"/>
    </i>
    <i>
      <x v="48"/>
      <x v="56"/>
    </i>
    <i>
      <x v="49"/>
      <x v="48"/>
    </i>
    <i>
      <x v="50"/>
      <x v="57"/>
    </i>
    <i>
      <x v="51"/>
      <x v="58"/>
    </i>
    <i>
      <x v="52"/>
      <x v="59"/>
    </i>
    <i>
      <x v="53"/>
      <x v="60"/>
    </i>
    <i>
      <x v="54"/>
      <x v="61"/>
    </i>
    <i>
      <x v="55"/>
      <x v="62"/>
    </i>
    <i>
      <x v="56"/>
      <x v="63"/>
    </i>
    <i>
      <x v="57"/>
      <x v="64"/>
    </i>
    <i>
      <x v="58"/>
      <x v="65"/>
    </i>
    <i>
      <x v="59"/>
      <x v="66"/>
    </i>
    <i>
      <x v="60"/>
      <x v="40"/>
    </i>
    <i>
      <x v="61"/>
      <x v="40"/>
    </i>
    <i>
      <x v="62"/>
      <x v="40"/>
    </i>
    <i>
      <x v="63"/>
      <x v="40"/>
    </i>
    <i>
      <x v="64"/>
      <x v="40"/>
    </i>
    <i>
      <x v="65"/>
      <x v="40"/>
    </i>
    <i>
      <x v="66"/>
      <x v="40"/>
    </i>
    <i>
      <x v="67"/>
      <x v="40"/>
    </i>
    <i>
      <x v="68"/>
      <x v="40"/>
    </i>
    <i>
      <x v="69"/>
      <x v="40"/>
    </i>
    <i>
      <x v="70"/>
      <x v="33"/>
    </i>
    <i>
      <x v="71"/>
      <x v="33"/>
    </i>
    <i>
      <x v="72"/>
      <x v="33"/>
    </i>
    <i>
      <x v="73"/>
      <x v="33"/>
    </i>
    <i>
      <x v="74"/>
      <x v="33"/>
    </i>
    <i>
      <x v="75"/>
      <x v="33"/>
    </i>
    <i>
      <x v="76"/>
      <x v="33"/>
    </i>
    <i>
      <x v="77"/>
      <x v="33"/>
    </i>
    <i>
      <x v="78"/>
      <x v="33"/>
    </i>
    <i>
      <x v="79"/>
      <x v="33"/>
    </i>
    <i>
      <x v="80"/>
      <x v="33"/>
    </i>
    <i>
      <x v="81"/>
      <x v="33"/>
    </i>
    <i>
      <x v="82"/>
      <x v="33"/>
    </i>
    <i>
      <x v="83"/>
      <x v="40"/>
    </i>
    <i>
      <x v="84"/>
      <x v="67"/>
    </i>
    <i>
      <x v="85"/>
      <x v="68"/>
    </i>
    <i>
      <x v="86"/>
      <x v="40"/>
    </i>
    <i>
      <x v="87"/>
      <x v="33"/>
    </i>
    <i>
      <x v="88"/>
      <x v="33"/>
    </i>
    <i>
      <x v="89"/>
      <x v="33"/>
    </i>
    <i>
      <x v="90"/>
      <x v="33"/>
    </i>
    <i>
      <x v="91"/>
      <x v="69"/>
    </i>
    <i>
      <x v="92"/>
      <x v="67"/>
    </i>
    <i>
      <x v="93"/>
      <x v="67"/>
    </i>
    <i>
      <x v="94"/>
      <x v="67"/>
    </i>
    <i>
      <x v="95"/>
      <x v="67"/>
    </i>
    <i>
      <x v="96"/>
      <x v="67"/>
    </i>
    <i>
      <x v="97"/>
      <x v="67"/>
    </i>
    <i>
      <x v="98"/>
      <x v="40"/>
    </i>
    <i>
      <x v="99"/>
      <x v="67"/>
    </i>
    <i>
      <x v="100"/>
      <x v="40"/>
    </i>
    <i>
      <x v="101"/>
      <x v="67"/>
    </i>
    <i>
      <x v="102"/>
      <x v="40"/>
    </i>
    <i>
      <x v="103"/>
      <x v="67"/>
    </i>
    <i>
      <x v="104"/>
      <x v="40"/>
    </i>
    <i>
      <x v="105"/>
      <x v="67"/>
    </i>
    <i>
      <x v="106"/>
      <x v="40"/>
    </i>
    <i>
      <x v="107"/>
      <x v="33"/>
    </i>
    <i>
      <x v="108"/>
      <x v="70"/>
    </i>
    <i>
      <x v="109"/>
      <x v="70"/>
    </i>
    <i>
      <x v="110"/>
      <x v="70"/>
    </i>
    <i>
      <x v="111"/>
      <x v="72"/>
    </i>
    <i>
      <x v="112"/>
      <x v="72"/>
    </i>
    <i>
      <x v="113"/>
      <x v="71"/>
    </i>
    <i>
      <x v="114"/>
      <x v="71"/>
    </i>
    <i>
      <x v="115"/>
      <x v="71"/>
    </i>
    <i>
      <x v="116"/>
      <x v="71"/>
    </i>
    <i>
      <x v="117"/>
      <x v="72"/>
    </i>
    <i>
      <x v="118"/>
      <x v="71"/>
    </i>
    <i>
      <x v="119"/>
      <x v="71"/>
    </i>
    <i>
      <x v="120"/>
      <x v="71"/>
    </i>
    <i>
      <x v="121"/>
      <x v="71"/>
    </i>
    <i>
      <x v="122"/>
      <x v="71"/>
    </i>
    <i>
      <x v="123"/>
      <x v="68"/>
    </i>
    <i>
      <x v="124"/>
      <x v="68"/>
    </i>
    <i>
      <x v="125"/>
      <x v="73"/>
    </i>
    <i>
      <x v="126"/>
      <x v="73"/>
    </i>
    <i>
      <x v="128"/>
      <x v="33"/>
    </i>
    <i>
      <x v="129"/>
      <x v="74"/>
    </i>
    <i>
      <x v="130"/>
      <x v="33"/>
    </i>
    <i>
      <x v="131"/>
      <x v="74"/>
    </i>
    <i>
      <x v="132"/>
      <x v="74"/>
    </i>
    <i>
      <x v="133"/>
      <x v="33"/>
    </i>
    <i>
      <x v="134"/>
      <x v="40"/>
    </i>
    <i>
      <x v="135"/>
      <x v="75"/>
    </i>
    <i>
      <x v="136"/>
      <x v="73"/>
    </i>
    <i>
      <x v="137"/>
      <x v="76"/>
    </i>
    <i>
      <x v="138"/>
      <x v="77"/>
    </i>
    <i>
      <x v="139"/>
      <x v="78"/>
    </i>
    <i>
      <x v="140"/>
      <x v="79"/>
    </i>
    <i>
      <x v="141"/>
      <x v="80"/>
    </i>
    <i>
      <x v="142"/>
      <x v="81"/>
    </i>
    <i>
      <x v="143"/>
      <x v="82"/>
    </i>
    <i>
      <x v="144"/>
      <x v="83"/>
    </i>
    <i>
      <x v="145"/>
      <x v="84"/>
    </i>
    <i>
      <x v="146"/>
      <x v="73"/>
    </i>
    <i>
      <x v="147"/>
      <x v="76"/>
    </i>
    <i>
      <x v="148"/>
      <x v="40"/>
    </i>
    <i>
      <x v="149"/>
      <x v="75"/>
    </i>
    <i>
      <x v="150"/>
      <x v="85"/>
    </i>
    <i>
      <x v="151"/>
      <x v="86"/>
    </i>
    <i>
      <x v="152"/>
      <x v="87"/>
    </i>
    <i>
      <x v="153"/>
      <x v="88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G6:H159" firstHeaderRow="1" firstDataRow="1" firstDataCol="1"/>
  <pivotFields count="16">
    <pivotField showAll="0"/>
    <pivotField axis="axisRow" showAll="0">
      <items count="155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754" applyNumberFormats="0" applyBorderFormats="0" applyFontFormats="0" applyPatternFormats="0" applyAlignmentFormats="0" applyWidthHeightFormats="1" dataCaption="Values" showMissing="0" updatedVersion="7" minRefreshableVersion="3" useAutoFormatting="1" rowGrandTotals="0" colGrandTotals="0" itemPrintTitles="1" createdVersion="6" indent="0" outline="1" outlineData="1" multipleFieldFilters="0">
  <location ref="E6:F159" firstHeaderRow="1" firstDataRow="1" firstDataCol="1"/>
  <pivotFields count="16">
    <pivotField dataField="1" showAll="0"/>
    <pivotField axis="axisRow" showAll="0">
      <items count="155">
        <item x="109"/>
        <item x="108"/>
        <item x="16"/>
        <item x="83"/>
        <item x="82"/>
        <item x="81"/>
        <item x="80"/>
        <item x="79"/>
        <item x="18"/>
        <item x="54"/>
        <item x="6"/>
        <item x="75"/>
        <item x="77"/>
        <item x="5"/>
        <item x="74"/>
        <item x="76"/>
        <item x="7"/>
        <item x="19"/>
        <item x="78"/>
        <item x="20"/>
        <item x="22"/>
        <item x="21"/>
        <item x="14"/>
        <item x="129"/>
        <item x="130"/>
        <item x="131"/>
        <item x="132"/>
        <item x="133"/>
        <item x="134"/>
        <item x="4"/>
        <item x="23"/>
        <item x="0"/>
        <item x="141"/>
        <item x="150"/>
        <item x="151"/>
        <item x="15"/>
        <item x="17"/>
        <item x="37"/>
        <item x="55"/>
        <item x="70"/>
        <item x="71"/>
        <item x="72"/>
        <item x="73"/>
        <item x="102"/>
        <item x="24"/>
        <item x="128"/>
        <item x="107"/>
        <item x="103"/>
        <item x="105"/>
        <item x="106"/>
        <item x="104"/>
        <item x="135"/>
        <item x="136"/>
        <item x="137"/>
        <item x="138"/>
        <item x="139"/>
        <item x="140"/>
        <item x="152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25"/>
        <item x="60"/>
        <item x="90"/>
        <item x="45"/>
        <item x="48"/>
        <item x="32"/>
        <item x="36"/>
        <item x="61"/>
        <item x="31"/>
        <item x="30"/>
        <item x="29"/>
        <item x="3"/>
        <item x="1"/>
        <item x="8"/>
        <item x="96"/>
        <item x="100"/>
        <item x="92"/>
        <item x="88"/>
        <item x="63"/>
        <item x="11"/>
        <item x="46"/>
        <item x="52"/>
        <item x="53"/>
        <item x="49"/>
        <item x="50"/>
        <item x="42"/>
        <item x="43"/>
        <item x="39"/>
        <item x="40"/>
        <item x="38"/>
        <item x="35"/>
        <item x="26"/>
        <item x="33"/>
        <item x="64"/>
        <item x="89"/>
        <item x="93"/>
        <item x="97"/>
        <item x="9"/>
        <item x="10"/>
        <item x="2"/>
        <item x="27"/>
        <item x="34"/>
        <item x="41"/>
        <item x="44"/>
        <item x="47"/>
        <item x="51"/>
        <item x="12"/>
        <item x="13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S6:X159" firstHeaderRow="0" firstDataRow="1" firstDataCol="1"/>
  <pivotFields count="16">
    <pivotField showAll="0"/>
    <pivotField axis="axisRow" showAll="0">
      <items count="155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M6:N159" firstHeaderRow="1" firstDataRow="1" firstDataCol="1"/>
  <pivotFields count="16">
    <pivotField showAll="0"/>
    <pivotField axis="axisRow" showAll="0">
      <items count="155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I6:J159" firstHeaderRow="1" firstDataRow="1" firstDataCol="1"/>
  <pivotFields count="16">
    <pivotField showAll="0"/>
    <pivotField axis="axisRow" showAll="0">
      <items count="155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A6:AB159" firstHeaderRow="1" firstDataRow="1" firstDataCol="1"/>
  <pivotFields count="16">
    <pivotField showAll="0"/>
    <pivotField axis="axisRow" showAll="0">
      <items count="155">
        <item x="152"/>
        <item x="0"/>
        <item x="25"/>
        <item x="20"/>
        <item x="4"/>
        <item x="14"/>
        <item x="24"/>
        <item x="5"/>
        <item x="6"/>
        <item x="7"/>
        <item x="21"/>
        <item x="23"/>
        <item x="22"/>
        <item x="15"/>
        <item x="16"/>
        <item x="17"/>
        <item x="18"/>
        <item x="19"/>
        <item x="37"/>
        <item x="54"/>
        <item x="55"/>
        <item x="1"/>
        <item x="70"/>
        <item x="71"/>
        <item x="73"/>
        <item x="74"/>
        <item x="75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32"/>
        <item x="36"/>
        <item x="60"/>
        <item x="45"/>
        <item x="46"/>
        <item x="48"/>
        <item x="90"/>
        <item x="61"/>
        <item x="31"/>
        <item x="30"/>
        <item x="29"/>
        <item x="3"/>
        <item x="11"/>
        <item x="8"/>
        <item x="96"/>
        <item x="100"/>
        <item x="92"/>
        <item x="88"/>
        <item x="52"/>
        <item x="53"/>
        <item x="49"/>
        <item x="50"/>
        <item x="42"/>
        <item x="43"/>
        <item x="39"/>
        <item x="40"/>
        <item x="38"/>
        <item x="35"/>
        <item x="63"/>
        <item x="26"/>
        <item x="33"/>
        <item x="27"/>
        <item x="34"/>
        <item x="41"/>
        <item x="44"/>
        <item x="47"/>
        <item x="51"/>
        <item x="64"/>
        <item x="89"/>
        <item x="93"/>
        <item x="97"/>
        <item x="12"/>
        <item x="9"/>
        <item x="13"/>
        <item x="10"/>
        <item x="2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754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D6:D9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3"/>
        <item x="2"/>
        <item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3">
    <i>
      <x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757" applyNumberFormats="0" applyBorderFormats="0" applyFontFormats="0" applyPatternFormats="0" applyAlignmentFormats="0" applyWidthHeightFormats="1" dataCaption="Values" missingCaption="&quot;&quot;" updatedVersion="7" minRefreshableVersion="3" useAutoFormatting="1" rowGrandTotals="0" colGrandTotals="0" itemPrintTitles="1" createdVersion="6" indent="0" outline="1" outlineData="1" multipleFieldFilters="0">
  <location ref="A6:A159" firstHeaderRow="1" firstDataRow="1" firstDataCol="1"/>
  <pivotFields count="16">
    <pivotField showAll="0"/>
    <pivotField axis="axisRow" showAll="0">
      <items count="155">
        <item x="0"/>
        <item x="6"/>
        <item x="5"/>
        <item x="7"/>
        <item x="14"/>
        <item x="4"/>
        <item x="17"/>
        <item x="18"/>
        <item x="19"/>
        <item x="55"/>
        <item x="1"/>
        <item x="75"/>
        <item x="74"/>
        <item x="70"/>
        <item x="152"/>
        <item x="15"/>
        <item x="16"/>
        <item x="21"/>
        <item x="22"/>
        <item x="24"/>
        <item x="23"/>
        <item x="20"/>
        <item x="54"/>
        <item x="71"/>
        <item x="73"/>
        <item x="76"/>
        <item x="77"/>
        <item x="78"/>
        <item x="72"/>
        <item x="79"/>
        <item x="80"/>
        <item x="81"/>
        <item x="82"/>
        <item x="83"/>
        <item x="102"/>
        <item x="141"/>
        <item x="150"/>
        <item x="37"/>
        <item x="151"/>
        <item x="107"/>
        <item x="128"/>
        <item x="103"/>
        <item x="104"/>
        <item x="105"/>
        <item x="106"/>
        <item x="129"/>
        <item x="133"/>
        <item x="134"/>
        <item x="135"/>
        <item x="139"/>
        <item x="140"/>
        <item x="136"/>
        <item x="137"/>
        <item x="138"/>
        <item x="130"/>
        <item x="131"/>
        <item x="132"/>
        <item x="109"/>
        <item x="108"/>
        <item x="101"/>
        <item x="99"/>
        <item x="98"/>
        <item x="95"/>
        <item x="94"/>
        <item x="91"/>
        <item x="87"/>
        <item x="86"/>
        <item x="85"/>
        <item x="84"/>
        <item x="56"/>
        <item x="57"/>
        <item x="58"/>
        <item x="59"/>
        <item x="62"/>
        <item x="65"/>
        <item x="66"/>
        <item x="67"/>
        <item x="68"/>
        <item x="69"/>
        <item x="60"/>
        <item x="90"/>
        <item x="96"/>
        <item x="100"/>
        <item x="92"/>
        <item x="88"/>
        <item x="61"/>
        <item x="3"/>
        <item x="8"/>
        <item x="63"/>
        <item x="45"/>
        <item x="48"/>
        <item x="32"/>
        <item x="36"/>
        <item x="31"/>
        <item x="30"/>
        <item x="29"/>
        <item x="11"/>
        <item x="46"/>
        <item x="25"/>
        <item x="52"/>
        <item x="53"/>
        <item x="49"/>
        <item x="50"/>
        <item x="42"/>
        <item x="43"/>
        <item x="39"/>
        <item x="40"/>
        <item x="38"/>
        <item x="35"/>
        <item x="93"/>
        <item x="64"/>
        <item x="89"/>
        <item x="97"/>
        <item x="26"/>
        <item x="33"/>
        <item x="9"/>
        <item x="10"/>
        <item x="2"/>
        <item x="27"/>
        <item x="34"/>
        <item x="41"/>
        <item x="44"/>
        <item x="47"/>
        <item x="51"/>
        <item x="12"/>
        <item x="13"/>
        <item x="28"/>
        <item m="1" x="153"/>
        <item x="110"/>
        <item x="111"/>
        <item x="116"/>
        <item x="117"/>
        <item x="123"/>
        <item x="122"/>
        <item x="124"/>
        <item x="125"/>
        <item x="118"/>
        <item x="119"/>
        <item x="142"/>
        <item x="144"/>
        <item x="145"/>
        <item x="146"/>
        <item x="147"/>
        <item x="148"/>
        <item x="149"/>
        <item x="143"/>
        <item x="120"/>
        <item x="121"/>
        <item x="126"/>
        <item x="127"/>
        <item x="112"/>
        <item x="113"/>
        <item x="114"/>
        <item x="115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1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8" dT="2020-08-07T12:32:29.60" personId="{8A307EF1-062C-4DD1-801F-D45833AE4B68}" id="{83CA511A-FBD5-43F7-B8F0-E5362C3DCE52}">
    <text>Note that there is still a problem running with other cases here - still looking into it.</text>
  </threadedComment>
  <threadedComment ref="D9" dT="2020-08-07T12:32:29.60" personId="{8A307EF1-062C-4DD1-801F-D45833AE4B68}" id="{B0B4E6CE-63BB-47DC-A15C-D7359C6FCD5C}">
    <text>Note that there is still a problem running with other cases here - still looking into it.</text>
  </threadedComment>
  <threadedComment ref="D11" dT="2020-08-07T12:32:29.60" personId="{8A307EF1-062C-4DD1-801F-D45833AE4B68}" id="{94BD3E44-B84E-4997-9B83-666F603EB55C}">
    <text>Note that there is still a problem running with other cases here - still looking into it.</text>
  </threadedComment>
  <threadedComment ref="D110" dT="2020-08-07T12:32:29.60" personId="{8A307EF1-062C-4DD1-801F-D45833AE4B68}" id="{3A629425-736C-49FF-8B83-3FBBBC12C4CE}">
    <text>Note that there is still a problem running with other cases here - still looking into it.</text>
  </threadedComment>
  <threadedComment ref="D111" dT="2020-08-07T12:32:29.60" personId="{8A307EF1-062C-4DD1-801F-D45833AE4B68}" id="{B6604738-1FCC-41EE-B03D-9C4A5AEF52CE}">
    <text>Note that there is still a problem running with other cases here - still looking into it.</text>
  </threadedComment>
  <threadedComment ref="D112" dT="2020-08-07T12:32:29.60" personId="{8A307EF1-062C-4DD1-801F-D45833AE4B68}" id="{51133E0D-65ED-41FA-8B2C-EC738522D05E}">
    <text>Note that there is still a problem running with other cases here - still looking into it.</text>
  </threadedComment>
  <threadedComment ref="D113" dT="2020-08-07T12:32:29.60" personId="{8A307EF1-062C-4DD1-801F-D45833AE4B68}" id="{83E81BB2-9091-4C72-9660-EB8BD87DE212}">
    <text>Note that there is still a problem running with other cases here - still looking into it.</text>
  </threadedComment>
  <threadedComment ref="D114" dT="2020-08-07T12:32:29.60" personId="{8A307EF1-062C-4DD1-801F-D45833AE4B68}" id="{17EA8562-2D5C-4A0F-8488-4E7A1AB50810}">
    <text>Note that there is still a problem running with other cases here - still looking into it.</text>
  </threadedComment>
  <threadedComment ref="D115" dT="2020-08-07T12:32:29.60" personId="{8A307EF1-062C-4DD1-801F-D45833AE4B68}" id="{647482BC-52A5-4C91-9959-7BBA5E6CD87C}">
    <text>Note that there is still a problem running with other cases here - still looking into it.</text>
  </threadedComment>
  <threadedComment ref="D116" dT="2020-08-07T12:32:29.60" personId="{8A307EF1-062C-4DD1-801F-D45833AE4B68}" id="{4BC6F9B3-0328-458A-AD9F-2C59693CE175}">
    <text>Note that there is still a problem running with other cases here - still looking into it.</text>
  </threadedComment>
  <threadedComment ref="D117" dT="2020-08-07T12:32:29.60" personId="{8A307EF1-062C-4DD1-801F-D45833AE4B68}" id="{85EDC146-BFD8-4C00-90BF-6180141583A5}">
    <text>Note that there is still a problem running with other cases here - still looking into it.</text>
  </threadedComment>
  <threadedComment ref="D118" dT="2020-08-07T12:32:29.60" personId="{8A307EF1-062C-4DD1-801F-D45833AE4B68}" id="{8BBE1FFC-2FD4-4F7B-8748-DD3A09817AC0}">
    <text>Note that there is still a problem running with other cases here - still looking into it.</text>
  </threadedComment>
  <threadedComment ref="D119" dT="2020-08-07T12:32:29.60" personId="{8A307EF1-062C-4DD1-801F-D45833AE4B68}" id="{B52CCB72-6685-4492-8C79-DF3E9FFF6F64}">
    <text>Note that there is still a problem running with other cases here - still looking into it.</text>
  </threadedComment>
  <threadedComment ref="D120" dT="2020-08-07T12:32:29.60" personId="{8A307EF1-062C-4DD1-801F-D45833AE4B68}" id="{7D96D53B-9120-461B-AD55-4A1A9B2FA010}">
    <text>Note that there is still a problem running with other cases here - still looking into it.</text>
  </threadedComment>
  <threadedComment ref="D121" dT="2020-08-07T12:32:29.60" personId="{8A307EF1-062C-4DD1-801F-D45833AE4B68}" id="{F7A6309E-47C5-4215-AF1D-E1CADE616AE1}">
    <text>Note that there is still a problem running with other cases here - still looking into it.</text>
  </threadedComment>
  <threadedComment ref="D122" dT="2020-08-07T12:32:29.60" personId="{8A307EF1-062C-4DD1-801F-D45833AE4B68}" id="{25B8C135-0142-4D67-857B-4D1E352686CD}">
    <text>Note that there is still a problem running with other cases here - still looking into it.</text>
  </threadedComment>
  <threadedComment ref="D123" dT="2020-08-07T12:32:29.60" personId="{8A307EF1-062C-4DD1-801F-D45833AE4B68}" id="{804AD62C-96F4-4D38-8DE0-DD3B71972325}">
    <text>Note that there is still a problem running with other cases here - still looking into it.</text>
  </threadedComment>
  <threadedComment ref="D124" dT="2020-08-07T12:32:29.60" personId="{8A307EF1-062C-4DD1-801F-D45833AE4B68}" id="{C554E512-E203-4DD4-9C00-323DB78A9184}">
    <text>Note that there is still a problem running with other cases here - still looking into it.</text>
  </threadedComment>
  <threadedComment ref="D125" dT="2020-08-07T12:32:29.60" personId="{8A307EF1-062C-4DD1-801F-D45833AE4B68}" id="{436E1344-8852-40F4-B9F0-441B833C458D}">
    <text>Note that there is still a problem running with other cases here - still looking into it.</text>
  </threadedComment>
  <threadedComment ref="D126" dT="2020-08-07T12:32:29.60" personId="{8A307EF1-062C-4DD1-801F-D45833AE4B68}" id="{1F4D338C-2FDC-4811-9F7B-437035031B21}">
    <text>Note that there is still a problem running with other cases here - still looking into it.</text>
  </threadedComment>
  <threadedComment ref="D127" dT="2020-08-07T12:32:29.60" personId="{8A307EF1-062C-4DD1-801F-D45833AE4B68}" id="{05EA5EFB-A0A7-4F58-B5AB-DA2A85B46885}">
    <text>Note that there is still a problem running with other cases here - still looking into it.</text>
  </threadedComment>
  <threadedComment ref="D128" dT="2020-08-07T12:32:29.60" personId="{8A307EF1-062C-4DD1-801F-D45833AE4B68}" id="{A8FD46F7-2509-4D9D-87F3-965331A68EB0}">
    <text>Note that there is still a problem running with other cases here - still looking into it.</text>
  </threadedComment>
  <threadedComment ref="D129" dT="2020-08-07T12:32:29.60" personId="{8A307EF1-062C-4DD1-801F-D45833AE4B68}" id="{C516673F-DAB6-4A8A-8E8A-D37418B9F054}">
    <text>Note that there is still a problem running with other cases here - still looking into it.</text>
  </threadedComment>
  <threadedComment ref="D130" dT="2020-08-07T12:32:29.60" personId="{8A307EF1-062C-4DD1-801F-D45833AE4B68}" id="{458F5881-2CEA-40DE-A6A7-34ED9A9DF34F}">
    <text>Note that there is still a problem running with other cases here - still looking into it.</text>
  </threadedComment>
  <threadedComment ref="D131" dT="2020-08-07T12:32:29.60" personId="{8A307EF1-062C-4DD1-801F-D45833AE4B68}" id="{3A5B42A3-A069-43E9-B276-A45F45367255}">
    <text>Note that there is still a problem running with other cases here - still looking into it.</text>
  </threadedComment>
  <threadedComment ref="D132" dT="2020-08-07T12:32:29.60" personId="{8A307EF1-062C-4DD1-801F-D45833AE4B68}" id="{36D0A571-47BF-41CA-A9F1-FFC662D15AD9}">
    <text>Note that there is still a problem running with other cases here - still looking into it.</text>
  </threadedComment>
  <threadedComment ref="D133" dT="2020-08-07T12:32:29.60" personId="{8A307EF1-062C-4DD1-801F-D45833AE4B68}" id="{EC804FF9-4C91-4196-BB9D-A984487A71E8}">
    <text>Note that there is still a problem running with other cases here - still looking into it.</text>
  </threadedComment>
  <threadedComment ref="D134" dT="2020-08-07T12:32:29.60" personId="{8A307EF1-062C-4DD1-801F-D45833AE4B68}" id="{D5D2B270-55A6-435D-8F6C-F6F570272A4E}">
    <text>Note that there is still a problem running with other cases here - still looking into it.</text>
  </threadedComment>
  <threadedComment ref="D135" dT="2020-08-07T12:32:29.60" personId="{8A307EF1-062C-4DD1-801F-D45833AE4B68}" id="{7AE145BC-18BF-43F2-8EB7-8E070D5A01DC}">
    <text>Note that there is still a problem running with other cases here - still looking into it.</text>
  </threadedComment>
  <threadedComment ref="D136" dT="2020-08-07T12:32:29.60" personId="{8A307EF1-062C-4DD1-801F-D45833AE4B68}" id="{2B3F236E-A0A1-460B-8964-763C35A5937E}">
    <text>Note that there is still a problem running with other cases here - still looking into it.</text>
  </threadedComment>
  <threadedComment ref="D137" dT="2020-08-07T12:32:29.60" personId="{8A307EF1-062C-4DD1-801F-D45833AE4B68}" id="{7C3102BB-ED29-4CBB-9781-E08272D88F7A}">
    <text>Note that there is still a problem running with other cases here - still looking into it.</text>
  </threadedComment>
  <threadedComment ref="D138" dT="2020-08-07T12:32:29.60" personId="{8A307EF1-062C-4DD1-801F-D45833AE4B68}" id="{9A2CD3A4-D77E-41B8-9954-75A5E7C4027A}">
    <text>Note that there is still a problem running with other cases here - still looking into it.</text>
  </threadedComment>
  <threadedComment ref="D139" dT="2020-08-07T12:32:29.60" personId="{8A307EF1-062C-4DD1-801F-D45833AE4B68}" id="{486D3903-23C3-46E3-8528-D36B9A69FA25}">
    <text>Note that there is still a problem running with other cases here - still looking into it.</text>
  </threadedComment>
  <threadedComment ref="D140" dT="2020-08-07T12:32:29.60" personId="{8A307EF1-062C-4DD1-801F-D45833AE4B68}" id="{319C6949-9711-4722-81A1-7A870562EAC6}">
    <text>Note that there is still a problem running with other cases here - still looking into it.</text>
  </threadedComment>
  <threadedComment ref="D141" dT="2020-08-07T12:32:29.60" personId="{8A307EF1-062C-4DD1-801F-D45833AE4B68}" id="{5E723AB9-5DEC-4ADD-9A00-CC17689AEF8C}">
    <text>Note that there is still a problem running with other cases here - still looking into it.</text>
  </threadedComment>
  <threadedComment ref="D142" dT="2020-08-07T12:32:29.60" personId="{8A307EF1-062C-4DD1-801F-D45833AE4B68}" id="{5E4F58A7-BE18-49C0-A150-AAC8592FE475}">
    <text>Note that there is still a problem running with other cases here - still looking into it.</text>
  </threadedComment>
  <threadedComment ref="D143" dT="2020-08-07T12:32:29.60" personId="{8A307EF1-062C-4DD1-801F-D45833AE4B68}" id="{4F38304B-7ABD-4729-91C0-BC9CDB28A4EE}">
    <text>Note that there is still a problem running with other cases here - still looking into it.</text>
  </threadedComment>
  <threadedComment ref="D144" dT="2020-08-07T12:32:29.60" personId="{8A307EF1-062C-4DD1-801F-D45833AE4B68}" id="{3F150CA9-EC7F-4E1C-AEFA-D3E21AB95D6D}">
    <text>Note that there is still a problem running with other cases here - still looking into it.</text>
  </threadedComment>
  <threadedComment ref="D145" dT="2020-08-07T12:32:29.60" personId="{8A307EF1-062C-4DD1-801F-D45833AE4B68}" id="{A65DFD5D-0416-432C-9CA6-B902838846DC}">
    <text>Note that there is still a problem running with other cases here - still looking into it.</text>
  </threadedComment>
  <threadedComment ref="D146" dT="2020-08-07T12:32:29.60" personId="{8A307EF1-062C-4DD1-801F-D45833AE4B68}" id="{3CC1A406-8D37-4404-BEA8-ADD9EFFFE44E}">
    <text>Note that there is still a problem running with other cases here - still looking into it.</text>
  </threadedComment>
  <threadedComment ref="D147" dT="2020-08-07T12:32:29.60" personId="{8A307EF1-062C-4DD1-801F-D45833AE4B68}" id="{894E3A6F-96FE-43D3-BFC1-1DCB06E80F10}">
    <text>Note that there is still a problem running with other cases here - still looking into it.</text>
  </threadedComment>
  <threadedComment ref="D148" dT="2020-08-07T12:32:29.60" personId="{8A307EF1-062C-4DD1-801F-D45833AE4B68}" id="{C6A25433-0219-49EE-A9C6-5829B4E8D1E8}">
    <text>Note that there is still a problem running with other cases here - still looking into it.</text>
  </threadedComment>
  <threadedComment ref="D149" dT="2020-08-07T12:32:29.60" personId="{8A307EF1-062C-4DD1-801F-D45833AE4B68}" id="{E593AC38-DE48-4B19-A390-2FEF9CB2FE33}">
    <text>Note that there is still a problem running with other cases here - still looking into it.</text>
  </threadedComment>
  <threadedComment ref="D150" dT="2020-08-07T12:32:29.60" personId="{8A307EF1-062C-4DD1-801F-D45833AE4B68}" id="{84E0A8F0-3273-4E5E-94F7-5F44BC81D21D}">
    <text>Note that there is still a problem running with other cases here - still looking into it.</text>
  </threadedComment>
  <threadedComment ref="D151" dT="2020-08-07T12:32:29.60" personId="{8A307EF1-062C-4DD1-801F-D45833AE4B68}" id="{B59F6C38-4F2A-4EDD-A020-DE83F4C08358}">
    <text>Note that there is still a problem running with other cases here - still looking into it.</text>
  </threadedComment>
  <threadedComment ref="D152" dT="2020-08-07T12:32:29.60" personId="{8A307EF1-062C-4DD1-801F-D45833AE4B68}" id="{3E8E2261-E953-440A-BCA5-E3A5978F7F3E}">
    <text>Note that there is still a problem running with other cases here - still looking into it.</text>
  </threadedComment>
  <threadedComment ref="D153" dT="2020-08-07T12:32:29.60" personId="{8A307EF1-062C-4DD1-801F-D45833AE4B68}" id="{3361294D-805B-405A-AE36-4F4A803D0BD1}">
    <text>Note that there is still a problem running with other cases here - still looking into it.</text>
  </threadedComment>
  <threadedComment ref="D154" dT="2020-08-07T12:32:29.60" personId="{8A307EF1-062C-4DD1-801F-D45833AE4B68}" id="{7E62A8EC-2523-4B1D-9F0A-20C3F7F009A2}">
    <text>Note that there is still a problem running with other cases here - still looking into it.</text>
  </threadedComment>
  <threadedComment ref="D155" dT="2020-08-07T12:32:29.60" personId="{8A307EF1-062C-4DD1-801F-D45833AE4B68}" id="{E5ED768C-2A7D-4AC4-BE7B-F126263FD27D}">
    <text>Note that there is still a problem running with other cases here - still looking into it.</text>
  </threadedComment>
  <threadedComment ref="D156" dT="2020-08-07T12:32:29.60" personId="{8A307EF1-062C-4DD1-801F-D45833AE4B68}" id="{E9288AA5-F30C-47BF-9F09-3A6F3F1C44F4}">
    <text>Note that there is still a problem running with other cases here - still looking into it.</text>
  </threadedComment>
  <threadedComment ref="D157" dT="2020-08-07T12:32:29.60" personId="{8A307EF1-062C-4DD1-801F-D45833AE4B68}" id="{179A7C1B-98C6-40DC-AAF5-403E5EE4B458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1"/>
  <sheetViews>
    <sheetView workbookViewId="0">
      <selection activeCell="C22" sqref="C22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s="7" t="s">
        <v>3</v>
      </c>
      <c r="B9" s="7" t="s">
        <v>57</v>
      </c>
      <c r="C9" s="7" t="str">
        <f>"Sets!"&amp;ADDRESS(ROW(Sets!C7),COLUMN(Sets!C7),4)</f>
        <v>Sets!C7</v>
      </c>
      <c r="D9" s="7">
        <v>1</v>
      </c>
      <c r="E9" s="7"/>
    </row>
    <row r="10" spans="1:11" s="7" customFormat="1">
      <c r="A10" s="7" t="s">
        <v>4</v>
      </c>
      <c r="B10" s="7" t="s">
        <v>64</v>
      </c>
      <c r="C10" s="7" t="str">
        <f>"Sets!"&amp;ADDRESS(ROW(Sets!D7),COLUMN(Sets!D7),4)</f>
        <v>Sets!D7</v>
      </c>
      <c r="D10" s="7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 s="7" customFormat="1">
      <c r="A12" s="7" t="s">
        <v>2</v>
      </c>
      <c r="B12" s="7" t="s">
        <v>59</v>
      </c>
      <c r="C12" s="7" t="str">
        <f>"Sets!"&amp;ADDRESS(ROW(Sets!G7),COLUMN(Sets!G7),4)</f>
        <v>Sets!G7</v>
      </c>
      <c r="D12" s="7">
        <v>1</v>
      </c>
    </row>
    <row r="13" spans="1:11" s="7" customFormat="1">
      <c r="A13" s="7" t="s">
        <v>2</v>
      </c>
      <c r="B13" s="7" t="s">
        <v>61</v>
      </c>
      <c r="C13" s="7" t="str">
        <f>"Sets!"&amp;ADDRESS(ROW(Sets!I7),COLUMN(Sets!I7),4)</f>
        <v>Sets!I7</v>
      </c>
      <c r="D13" s="7">
        <v>1</v>
      </c>
    </row>
    <row r="14" spans="1:11" s="7" customFormat="1">
      <c r="A14" s="7" t="s">
        <v>2</v>
      </c>
      <c r="B14" s="7" t="s">
        <v>211</v>
      </c>
      <c r="C14" s="7" t="str">
        <f>"Sets!"&amp;ADDRESS(ROW(Sets!K7),COLUMN(Sets!K7),4)</f>
        <v>Sets!K7</v>
      </c>
      <c r="D14" s="7">
        <v>1</v>
      </c>
    </row>
    <row r="15" spans="1:11" s="7" customFormat="1">
      <c r="A15" s="7" t="s">
        <v>2</v>
      </c>
      <c r="B15" s="7" t="s">
        <v>212</v>
      </c>
      <c r="C15" s="7" t="str">
        <f>"Sets!"&amp;ADDRESS(ROW(Sets!M7),COLUMN(Sets!M7),4)</f>
        <v>Sets!M7</v>
      </c>
      <c r="D15" s="7">
        <v>1</v>
      </c>
    </row>
    <row r="16" spans="1:11" s="7" customFormat="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  <c r="E16"/>
    </row>
    <row r="17" spans="1:6">
      <c r="A17" s="7" t="s">
        <v>4</v>
      </c>
      <c r="B17" s="7" t="s">
        <v>58</v>
      </c>
      <c r="C17" s="7" t="str">
        <f>"Sets!"&amp;ADDRESS(ROW(Sets!Q7),COLUMN(Sets!Q7),4)</f>
        <v>Sets!Q7</v>
      </c>
      <c r="D17" s="7">
        <v>2</v>
      </c>
      <c r="E17" s="7"/>
      <c r="F17" s="7"/>
    </row>
    <row r="18" spans="1:6">
      <c r="A18" s="7" t="s">
        <v>3</v>
      </c>
      <c r="B18" s="7" t="s">
        <v>54</v>
      </c>
      <c r="C18" s="7" t="str">
        <f>"Sets!"&amp;ADDRESS(ROW(Sets!AD7),COLUMN(Sets!AD7),4)</f>
        <v>Sets!AD7</v>
      </c>
      <c r="D18" s="7">
        <v>1</v>
      </c>
    </row>
    <row r="19" spans="1:6">
      <c r="A19" s="7" t="s">
        <v>3</v>
      </c>
      <c r="B19" s="7" t="s">
        <v>55</v>
      </c>
      <c r="C19" s="7" t="str">
        <f>"Sets!"&amp;ADDRESS(ROW(Sets!AE7),COLUMN(Sets!AE7),4)</f>
        <v>Sets!AE7</v>
      </c>
      <c r="D19" s="7">
        <v>1</v>
      </c>
      <c r="E19" s="7"/>
    </row>
    <row r="20" spans="1:6">
      <c r="A20" t="s">
        <v>2</v>
      </c>
      <c r="B20" t="s">
        <v>163</v>
      </c>
      <c r="C20" t="str">
        <f>"Sets!"&amp;ADDRESS(ROW(Sets!S6),COLUMN(Sets!S6),4)</f>
        <v>Sets!S6</v>
      </c>
      <c r="D20">
        <v>1</v>
      </c>
      <c r="E20">
        <v>1</v>
      </c>
    </row>
    <row r="21" spans="1:6">
      <c r="A21" s="7" t="s">
        <v>2</v>
      </c>
      <c r="B21" s="7" t="s">
        <v>240</v>
      </c>
      <c r="C21" s="7" t="str">
        <f>"Sets!"&amp;ADDRESS(ROW(Sets!AA7),COLUMN(Sets!AA7),4)</f>
        <v>Sets!AA7</v>
      </c>
      <c r="D21" s="7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159"/>
  <sheetViews>
    <sheetView topLeftCell="A111" workbookViewId="0">
      <selection activeCell="A133" sqref="A133:A134"/>
    </sheetView>
  </sheetViews>
  <sheetFormatPr defaultRowHeight="15"/>
  <cols>
    <col min="1" max="1" width="27.140625" bestFit="1" customWidth="1"/>
    <col min="2" max="2" width="16.28515625" style="7" bestFit="1" customWidth="1"/>
    <col min="3" max="4" width="13.140625" style="7" customWidth="1"/>
    <col min="5" max="5" width="27.140625" style="7" bestFit="1" customWidth="1"/>
    <col min="6" max="6" width="23" style="7" bestFit="1" customWidth="1"/>
    <col min="7" max="7" width="27.140625" style="7" bestFit="1" customWidth="1"/>
    <col min="8" max="8" width="19.85546875" style="7" bestFit="1" customWidth="1"/>
    <col min="9" max="9" width="27.140625" style="7" bestFit="1" customWidth="1"/>
    <col min="10" max="10" width="18.5703125" style="7" bestFit="1" customWidth="1"/>
    <col min="11" max="11" width="27.140625" style="7" bestFit="1" customWidth="1"/>
    <col min="12" max="12" width="20.7109375" style="7" bestFit="1" customWidth="1"/>
    <col min="13" max="13" width="27.140625" style="7" bestFit="1" customWidth="1"/>
    <col min="14" max="14" width="21" style="7" bestFit="1" customWidth="1"/>
    <col min="15" max="15" width="23.140625" style="7" customWidth="1"/>
    <col min="16" max="16" width="20.85546875" style="7" bestFit="1" customWidth="1"/>
    <col min="17" max="17" width="16.7109375" style="7" bestFit="1" customWidth="1"/>
    <col min="18" max="18" width="18" style="7" bestFit="1" customWidth="1"/>
    <col min="19" max="19" width="27.140625" style="7" bestFit="1" customWidth="1"/>
    <col min="20" max="20" width="4.140625" style="7" bestFit="1" customWidth="1"/>
    <col min="21" max="21" width="5.28515625" style="7" bestFit="1" customWidth="1"/>
    <col min="22" max="22" width="4.42578125" style="7" bestFit="1" customWidth="1"/>
    <col min="23" max="23" width="7.140625" style="7" bestFit="1" customWidth="1"/>
    <col min="24" max="24" width="6.85546875" style="7" bestFit="1" customWidth="1"/>
    <col min="25" max="26" width="6.85546875" style="7" customWidth="1"/>
    <col min="27" max="27" width="27.140625" style="7" bestFit="1" customWidth="1"/>
    <col min="28" max="28" width="19.140625" style="7" bestFit="1" customWidth="1"/>
    <col min="29" max="29" width="20.140625" style="7" customWidth="1"/>
    <col min="30" max="30" width="10" style="14" bestFit="1" customWidth="1"/>
    <col min="31" max="31" width="11.5703125" style="14" bestFit="1" customWidth="1"/>
    <col min="32" max="33" width="23.140625" style="7" customWidth="1"/>
    <col min="34" max="34" width="16.7109375" customWidth="1"/>
    <col min="35" max="35" width="19" customWidth="1"/>
    <col min="37" max="38" width="9.140625" style="7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202</v>
      </c>
      <c r="K5" s="1" t="s">
        <v>205</v>
      </c>
      <c r="M5" s="1" t="s">
        <v>206</v>
      </c>
      <c r="O5" s="1" t="s">
        <v>66</v>
      </c>
      <c r="Q5" s="1" t="s">
        <v>67</v>
      </c>
      <c r="S5" s="1" t="s">
        <v>163</v>
      </c>
      <c r="AA5" s="1" t="s">
        <v>238</v>
      </c>
      <c r="AD5" s="1" t="s">
        <v>53</v>
      </c>
      <c r="AE5" s="1" t="s">
        <v>56</v>
      </c>
      <c r="AM5" s="1" t="s">
        <v>27</v>
      </c>
    </row>
    <row r="6" spans="1:39">
      <c r="A6" s="12" t="s">
        <v>33</v>
      </c>
      <c r="B6" s="12" t="s">
        <v>33</v>
      </c>
      <c r="D6" s="12" t="s">
        <v>33</v>
      </c>
      <c r="E6" s="12" t="s">
        <v>33</v>
      </c>
      <c r="F6" t="s">
        <v>41</v>
      </c>
      <c r="G6" s="12" t="s">
        <v>33</v>
      </c>
      <c r="H6" t="s">
        <v>44</v>
      </c>
      <c r="I6" s="12" t="s">
        <v>33</v>
      </c>
      <c r="J6" t="s">
        <v>43</v>
      </c>
      <c r="K6" s="12" t="s">
        <v>33</v>
      </c>
      <c r="L6" t="s">
        <v>207</v>
      </c>
      <c r="M6" s="12" t="s">
        <v>33</v>
      </c>
      <c r="N6" t="s">
        <v>208</v>
      </c>
      <c r="O6" s="12" t="s">
        <v>35</v>
      </c>
      <c r="P6" s="12" t="s">
        <v>28</v>
      </c>
      <c r="Q6" s="12" t="s">
        <v>35</v>
      </c>
      <c r="R6" s="12" t="s">
        <v>29</v>
      </c>
      <c r="S6" s="12" t="s">
        <v>33</v>
      </c>
      <c r="T6" s="7" t="s">
        <v>184</v>
      </c>
      <c r="U6" s="7" t="s">
        <v>185</v>
      </c>
      <c r="V6" s="7" t="s">
        <v>186</v>
      </c>
      <c r="W6" s="7" t="s">
        <v>187</v>
      </c>
      <c r="X6" s="7" t="s">
        <v>39</v>
      </c>
      <c r="AA6" s="12" t="s">
        <v>33</v>
      </c>
      <c r="AB6" t="s">
        <v>239</v>
      </c>
      <c r="AC6" s="12"/>
      <c r="AD6" s="16" t="s">
        <v>54</v>
      </c>
      <c r="AE6" s="16" t="s">
        <v>55</v>
      </c>
      <c r="AF6" s="12"/>
      <c r="AH6" s="7"/>
    </row>
    <row r="7" spans="1:39">
      <c r="A7" s="13" t="s">
        <v>380</v>
      </c>
      <c r="B7" s="13" t="s">
        <v>193</v>
      </c>
      <c r="C7" s="12" t="s">
        <v>30</v>
      </c>
      <c r="D7" s="13" t="s">
        <v>30</v>
      </c>
      <c r="E7" s="13" t="s">
        <v>299</v>
      </c>
      <c r="F7" s="3">
        <v>0</v>
      </c>
      <c r="G7" s="13" t="s">
        <v>193</v>
      </c>
      <c r="H7" s="3"/>
      <c r="I7" s="13" t="s">
        <v>193</v>
      </c>
      <c r="J7" s="3"/>
      <c r="K7" s="13" t="s">
        <v>193</v>
      </c>
      <c r="L7" s="3"/>
      <c r="M7" s="13" t="s">
        <v>193</v>
      </c>
      <c r="N7" s="3"/>
      <c r="O7" s="7" t="s">
        <v>193</v>
      </c>
      <c r="P7" s="7" t="s">
        <v>193</v>
      </c>
      <c r="Q7" s="7" t="s">
        <v>193</v>
      </c>
      <c r="R7" s="7" t="s">
        <v>193</v>
      </c>
      <c r="S7" s="13" t="s">
        <v>193</v>
      </c>
      <c r="T7" s="3"/>
      <c r="U7" s="3"/>
      <c r="V7" s="3"/>
      <c r="W7" s="3"/>
      <c r="X7" s="3"/>
      <c r="Y7" s="3"/>
      <c r="Z7" s="3"/>
      <c r="AA7" s="13" t="s">
        <v>193</v>
      </c>
      <c r="AB7" s="3"/>
      <c r="AC7" s="3"/>
      <c r="AD7" s="14">
        <v>2012</v>
      </c>
      <c r="AE7" s="14">
        <f>2051-Scenarios!G6</f>
        <v>2048</v>
      </c>
      <c r="AH7" s="7"/>
      <c r="AI7" s="7"/>
      <c r="AJ7" s="7"/>
      <c r="AM7" t="s">
        <v>14</v>
      </c>
    </row>
    <row r="8" spans="1:39">
      <c r="A8" s="13" t="s">
        <v>209</v>
      </c>
      <c r="B8" s="13" t="s">
        <v>196</v>
      </c>
      <c r="C8" s="13" t="s">
        <v>31</v>
      </c>
      <c r="D8" s="13" t="s">
        <v>193</v>
      </c>
      <c r="E8" s="13" t="s">
        <v>300</v>
      </c>
      <c r="F8" s="3">
        <v>0</v>
      </c>
      <c r="G8" s="13" t="s">
        <v>380</v>
      </c>
      <c r="H8" s="3">
        <v>1</v>
      </c>
      <c r="I8" s="13" t="s">
        <v>380</v>
      </c>
      <c r="J8" s="3">
        <v>1</v>
      </c>
      <c r="K8" s="13" t="s">
        <v>380</v>
      </c>
      <c r="L8" s="3">
        <v>1</v>
      </c>
      <c r="M8" s="13" t="s">
        <v>380</v>
      </c>
      <c r="N8" s="3">
        <v>1</v>
      </c>
      <c r="O8" s="7" t="s">
        <v>380</v>
      </c>
      <c r="P8" s="7" t="s">
        <v>237</v>
      </c>
      <c r="Q8" s="7" t="s">
        <v>380</v>
      </c>
      <c r="R8" s="7" t="s">
        <v>30</v>
      </c>
      <c r="S8" s="13" t="s">
        <v>380</v>
      </c>
      <c r="T8" s="3">
        <v>-1</v>
      </c>
      <c r="U8" s="3">
        <v>-1</v>
      </c>
      <c r="V8" s="3">
        <v>-1</v>
      </c>
      <c r="W8" s="3">
        <v>1</v>
      </c>
      <c r="X8" s="3">
        <v>-1</v>
      </c>
      <c r="Y8" s="3"/>
      <c r="Z8" s="3"/>
      <c r="AA8" s="13" t="s">
        <v>380</v>
      </c>
      <c r="AB8" s="3">
        <v>100</v>
      </c>
      <c r="AC8" s="3"/>
      <c r="AD8" s="14">
        <v>2013</v>
      </c>
      <c r="AE8" s="14">
        <f>IF(OR(AE7=2050,AE7=""),"",AE7+1)</f>
        <v>2049</v>
      </c>
      <c r="AH8" s="7"/>
      <c r="AI8" s="7"/>
      <c r="AJ8" s="7"/>
      <c r="AM8" s="7" t="s">
        <v>15</v>
      </c>
    </row>
    <row r="9" spans="1:39">
      <c r="A9" s="13" t="s">
        <v>204</v>
      </c>
      <c r="B9" s="13" t="s">
        <v>198</v>
      </c>
      <c r="C9" s="13" t="s">
        <v>32</v>
      </c>
      <c r="D9" s="13" t="s">
        <v>31</v>
      </c>
      <c r="E9" s="13" t="s">
        <v>225</v>
      </c>
      <c r="F9" s="3">
        <v>0</v>
      </c>
      <c r="G9" s="13" t="s">
        <v>323</v>
      </c>
      <c r="H9" s="3">
        <v>1</v>
      </c>
      <c r="I9" s="13" t="s">
        <v>323</v>
      </c>
      <c r="J9" s="3">
        <v>1</v>
      </c>
      <c r="K9" s="13" t="s">
        <v>323</v>
      </c>
      <c r="L9" s="3">
        <v>1</v>
      </c>
      <c r="M9" s="13" t="s">
        <v>323</v>
      </c>
      <c r="N9" s="3">
        <v>1</v>
      </c>
      <c r="O9" s="7" t="s">
        <v>323</v>
      </c>
      <c r="P9" s="7" t="s">
        <v>237</v>
      </c>
      <c r="Q9" s="7" t="s">
        <v>323</v>
      </c>
      <c r="R9" s="7" t="s">
        <v>31</v>
      </c>
      <c r="S9" s="13" t="s">
        <v>323</v>
      </c>
      <c r="T9" s="3">
        <v>-1</v>
      </c>
      <c r="U9" s="3">
        <v>-1</v>
      </c>
      <c r="V9" s="3">
        <v>-1</v>
      </c>
      <c r="W9" s="3">
        <v>1</v>
      </c>
      <c r="X9" s="3">
        <v>-1</v>
      </c>
      <c r="Y9" s="3"/>
      <c r="Z9" s="3"/>
      <c r="AA9" s="13" t="s">
        <v>323</v>
      </c>
      <c r="AB9" s="3">
        <v>100</v>
      </c>
      <c r="AC9" s="3"/>
      <c r="AD9" s="14">
        <v>2014</v>
      </c>
      <c r="AE9" s="14">
        <f t="shared" ref="AE9:AE13" si="0">IF(OR(AE8=2050,AE8=""),"",AE8+1)</f>
        <v>2050</v>
      </c>
      <c r="AH9" s="7"/>
      <c r="AI9" s="7"/>
      <c r="AJ9" s="7"/>
      <c r="AM9" s="7" t="s">
        <v>16</v>
      </c>
    </row>
    <row r="10" spans="1:39">
      <c r="A10" s="13" t="s">
        <v>217</v>
      </c>
      <c r="B10" s="13" t="s">
        <v>199</v>
      </c>
      <c r="C10" s="13" t="s">
        <v>46</v>
      </c>
      <c r="D10"/>
      <c r="E10" s="13" t="s">
        <v>258</v>
      </c>
      <c r="F10" s="3">
        <v>0</v>
      </c>
      <c r="G10" s="13" t="s">
        <v>194</v>
      </c>
      <c r="H10" s="3">
        <v>1</v>
      </c>
      <c r="I10" s="13" t="s">
        <v>194</v>
      </c>
      <c r="J10" s="3">
        <v>1</v>
      </c>
      <c r="K10" s="13" t="s">
        <v>194</v>
      </c>
      <c r="L10" s="3">
        <v>1</v>
      </c>
      <c r="M10" s="13" t="s">
        <v>194</v>
      </c>
      <c r="N10" s="3">
        <v>1</v>
      </c>
      <c r="O10" s="7" t="s">
        <v>194</v>
      </c>
      <c r="P10" s="7" t="s">
        <v>198</v>
      </c>
      <c r="Q10" s="7" t="s">
        <v>194</v>
      </c>
      <c r="R10" s="7" t="s">
        <v>31</v>
      </c>
      <c r="S10" s="13" t="s">
        <v>194</v>
      </c>
      <c r="T10" s="3">
        <v>2</v>
      </c>
      <c r="U10" s="3">
        <v>2</v>
      </c>
      <c r="V10" s="3">
        <v>1</v>
      </c>
      <c r="W10" s="3">
        <v>2</v>
      </c>
      <c r="X10" s="3">
        <v>1</v>
      </c>
      <c r="Y10" s="3"/>
      <c r="Z10" s="3"/>
      <c r="AA10" s="13" t="s">
        <v>194</v>
      </c>
      <c r="AB10" s="3"/>
      <c r="AC10" s="3"/>
      <c r="AD10" s="14">
        <v>2015</v>
      </c>
      <c r="AE10" s="14" t="str">
        <f t="shared" si="0"/>
        <v/>
      </c>
      <c r="AH10" s="7"/>
      <c r="AI10" s="7"/>
      <c r="AJ10" s="7"/>
      <c r="AM10" s="7" t="s">
        <v>17</v>
      </c>
    </row>
    <row r="11" spans="1:39">
      <c r="A11" s="13" t="s">
        <v>195</v>
      </c>
      <c r="B11" s="13" t="s">
        <v>210</v>
      </c>
      <c r="C11" s="13" t="s">
        <v>47</v>
      </c>
      <c r="D11"/>
      <c r="E11" s="13" t="s">
        <v>257</v>
      </c>
      <c r="F11" s="3">
        <v>0</v>
      </c>
      <c r="G11" s="13" t="s">
        <v>215</v>
      </c>
      <c r="H11" s="3">
        <v>1</v>
      </c>
      <c r="I11" s="13" t="s">
        <v>215</v>
      </c>
      <c r="J11" s="3">
        <v>1</v>
      </c>
      <c r="K11" s="13" t="s">
        <v>215</v>
      </c>
      <c r="L11" s="3">
        <v>1</v>
      </c>
      <c r="M11" s="13" t="s">
        <v>215</v>
      </c>
      <c r="N11" s="3">
        <v>1</v>
      </c>
      <c r="O11" s="7" t="s">
        <v>215</v>
      </c>
      <c r="P11" s="7" t="s">
        <v>216</v>
      </c>
      <c r="Q11" s="7" t="s">
        <v>215</v>
      </c>
      <c r="R11" s="7" t="s">
        <v>30</v>
      </c>
      <c r="S11" s="13" t="s">
        <v>215</v>
      </c>
      <c r="T11" s="3">
        <v>2</v>
      </c>
      <c r="U11" s="3">
        <v>2</v>
      </c>
      <c r="V11" s="3">
        <v>2</v>
      </c>
      <c r="W11" s="3">
        <v>1</v>
      </c>
      <c r="X11" s="3">
        <v>2</v>
      </c>
      <c r="Y11" s="3"/>
      <c r="Z11" s="3"/>
      <c r="AA11" s="13" t="s">
        <v>215</v>
      </c>
      <c r="AB11" s="3"/>
      <c r="AD11" s="14">
        <v>2016</v>
      </c>
      <c r="AE11" s="14" t="str">
        <f t="shared" si="0"/>
        <v/>
      </c>
      <c r="AH11" s="7"/>
      <c r="AI11" s="7"/>
      <c r="AJ11" s="7"/>
      <c r="AM11" s="7" t="s">
        <v>18</v>
      </c>
    </row>
    <row r="12" spans="1:39">
      <c r="A12" s="13" t="s">
        <v>215</v>
      </c>
      <c r="B12" s="13" t="s">
        <v>213</v>
      </c>
      <c r="C12" s="13" t="s">
        <v>48</v>
      </c>
      <c r="D12" s="13"/>
      <c r="E12" s="13" t="s">
        <v>256</v>
      </c>
      <c r="F12" s="3">
        <v>0</v>
      </c>
      <c r="G12" s="13" t="s">
        <v>195</v>
      </c>
      <c r="H12" s="3">
        <v>1</v>
      </c>
      <c r="I12" s="13" t="s">
        <v>195</v>
      </c>
      <c r="J12" s="3">
        <v>1</v>
      </c>
      <c r="K12" s="13" t="s">
        <v>195</v>
      </c>
      <c r="L12" s="3">
        <v>1</v>
      </c>
      <c r="M12" s="13" t="s">
        <v>195</v>
      </c>
      <c r="N12" s="3">
        <v>1</v>
      </c>
      <c r="O12" s="7" t="s">
        <v>195</v>
      </c>
      <c r="P12" s="7" t="s">
        <v>196</v>
      </c>
      <c r="Q12" s="7" t="s">
        <v>195</v>
      </c>
      <c r="R12" s="7" t="s">
        <v>30</v>
      </c>
      <c r="S12" s="13" t="s">
        <v>195</v>
      </c>
      <c r="T12" s="3">
        <v>1</v>
      </c>
      <c r="U12" s="3">
        <v>1</v>
      </c>
      <c r="V12" s="3">
        <v>3</v>
      </c>
      <c r="W12" s="3">
        <v>3</v>
      </c>
      <c r="X12" s="3">
        <v>3</v>
      </c>
      <c r="Y12" s="3"/>
      <c r="Z12" s="3"/>
      <c r="AA12" s="13" t="s">
        <v>195</v>
      </c>
      <c r="AB12" s="3"/>
      <c r="AD12" s="14">
        <v>2017</v>
      </c>
      <c r="AE12" s="14" t="str">
        <f t="shared" si="0"/>
        <v/>
      </c>
      <c r="AH12" s="7"/>
      <c r="AI12" s="7"/>
      <c r="AJ12" s="7"/>
      <c r="AM12" s="7" t="s">
        <v>19</v>
      </c>
    </row>
    <row r="13" spans="1:39">
      <c r="A13" s="13" t="s">
        <v>229</v>
      </c>
      <c r="B13" s="13" t="s">
        <v>214</v>
      </c>
      <c r="C13" s="13" t="s">
        <v>49</v>
      </c>
      <c r="D13" s="13"/>
      <c r="E13" s="13" t="s">
        <v>255</v>
      </c>
      <c r="F13" s="3">
        <v>0</v>
      </c>
      <c r="G13" s="13" t="s">
        <v>197</v>
      </c>
      <c r="H13" s="3">
        <v>1</v>
      </c>
      <c r="I13" s="13" t="s">
        <v>197</v>
      </c>
      <c r="J13" s="3">
        <v>1</v>
      </c>
      <c r="K13" s="13" t="s">
        <v>197</v>
      </c>
      <c r="L13" s="3">
        <v>1</v>
      </c>
      <c r="M13" s="13" t="s">
        <v>197</v>
      </c>
      <c r="N13" s="3">
        <v>1</v>
      </c>
      <c r="O13" s="7" t="s">
        <v>197</v>
      </c>
      <c r="P13" s="7" t="s">
        <v>199</v>
      </c>
      <c r="Q13" s="7" t="s">
        <v>197</v>
      </c>
      <c r="R13" s="7" t="s">
        <v>31</v>
      </c>
      <c r="S13" s="13" t="s">
        <v>197</v>
      </c>
      <c r="T13" s="3">
        <v>-1</v>
      </c>
      <c r="U13" s="3">
        <v>-1</v>
      </c>
      <c r="V13" s="3">
        <v>-1</v>
      </c>
      <c r="W13" s="3">
        <v>1</v>
      </c>
      <c r="X13" s="3">
        <v>-1</v>
      </c>
      <c r="Y13" s="3"/>
      <c r="Z13" s="3"/>
      <c r="AA13" s="13" t="s">
        <v>197</v>
      </c>
      <c r="AB13" s="3"/>
      <c r="AD13" s="14">
        <v>2018</v>
      </c>
      <c r="AE13" s="14" t="str">
        <f t="shared" si="0"/>
        <v/>
      </c>
      <c r="AH13" s="7"/>
      <c r="AI13" s="7"/>
      <c r="AJ13" s="7"/>
      <c r="AM13" s="7" t="s">
        <v>20</v>
      </c>
    </row>
    <row r="14" spans="1:39">
      <c r="A14" s="13" t="s">
        <v>230</v>
      </c>
      <c r="B14" s="13" t="s">
        <v>216</v>
      </c>
      <c r="C14" s="13" t="s">
        <v>50</v>
      </c>
      <c r="D14" s="13"/>
      <c r="E14" s="13" t="s">
        <v>254</v>
      </c>
      <c r="F14" s="3">
        <v>0</v>
      </c>
      <c r="G14" s="13" t="s">
        <v>204</v>
      </c>
      <c r="H14" s="3">
        <v>1</v>
      </c>
      <c r="I14" s="13" t="s">
        <v>204</v>
      </c>
      <c r="J14" s="3">
        <v>1</v>
      </c>
      <c r="K14" s="13" t="s">
        <v>204</v>
      </c>
      <c r="L14" s="3">
        <v>1</v>
      </c>
      <c r="M14" s="13" t="s">
        <v>204</v>
      </c>
      <c r="N14" s="3">
        <v>1</v>
      </c>
      <c r="O14" s="7" t="s">
        <v>204</v>
      </c>
      <c r="P14" s="7" t="s">
        <v>259</v>
      </c>
      <c r="Q14" s="7" t="s">
        <v>204</v>
      </c>
      <c r="R14" s="7" t="s">
        <v>30</v>
      </c>
      <c r="S14" s="13" t="s">
        <v>204</v>
      </c>
      <c r="T14" s="3">
        <v>2</v>
      </c>
      <c r="U14" s="3">
        <v>2</v>
      </c>
      <c r="V14" s="3">
        <v>1</v>
      </c>
      <c r="W14" s="3">
        <v>2</v>
      </c>
      <c r="X14" s="3">
        <v>1</v>
      </c>
      <c r="Y14" s="3"/>
      <c r="Z14" s="3"/>
      <c r="AA14" s="13" t="s">
        <v>204</v>
      </c>
      <c r="AB14" s="3">
        <v>100</v>
      </c>
      <c r="AD14" s="14">
        <v>2019</v>
      </c>
      <c r="AH14" s="7"/>
      <c r="AI14" s="7"/>
      <c r="AJ14" s="7"/>
      <c r="AM14" s="7" t="s">
        <v>21</v>
      </c>
    </row>
    <row r="15" spans="1:39">
      <c r="A15" s="13" t="s">
        <v>231</v>
      </c>
      <c r="B15" s="13" t="s">
        <v>220</v>
      </c>
      <c r="C15" s="13" t="s">
        <v>51</v>
      </c>
      <c r="D15" s="13"/>
      <c r="E15" s="13" t="s">
        <v>230</v>
      </c>
      <c r="F15" s="3">
        <v>0</v>
      </c>
      <c r="G15" s="13" t="s">
        <v>209</v>
      </c>
      <c r="H15" s="3">
        <v>1</v>
      </c>
      <c r="I15" s="13" t="s">
        <v>209</v>
      </c>
      <c r="J15" s="3">
        <v>1</v>
      </c>
      <c r="K15" s="13" t="s">
        <v>209</v>
      </c>
      <c r="L15" s="3">
        <v>1</v>
      </c>
      <c r="M15" s="13" t="s">
        <v>209</v>
      </c>
      <c r="N15" s="3">
        <v>1</v>
      </c>
      <c r="O15" s="7" t="s">
        <v>209</v>
      </c>
      <c r="P15" s="7" t="s">
        <v>210</v>
      </c>
      <c r="Q15" s="7" t="s">
        <v>209</v>
      </c>
      <c r="R15" s="7" t="s">
        <v>30</v>
      </c>
      <c r="S15" s="13" t="s">
        <v>209</v>
      </c>
      <c r="T15" s="3">
        <v>2</v>
      </c>
      <c r="U15" s="3">
        <v>2</v>
      </c>
      <c r="V15" s="3">
        <v>1</v>
      </c>
      <c r="W15" s="3">
        <v>2</v>
      </c>
      <c r="X15" s="3">
        <v>1</v>
      </c>
      <c r="Y15" s="3"/>
      <c r="Z15" s="3"/>
      <c r="AA15" s="13" t="s">
        <v>209</v>
      </c>
      <c r="AB15" s="3"/>
      <c r="AD15" s="14">
        <v>2020</v>
      </c>
      <c r="AH15" s="7"/>
      <c r="AI15" s="7"/>
      <c r="AJ15" s="7"/>
      <c r="AM15" s="7" t="s">
        <v>22</v>
      </c>
    </row>
    <row r="16" spans="1:39">
      <c r="A16" s="13" t="s">
        <v>234</v>
      </c>
      <c r="B16" s="13" t="s">
        <v>222</v>
      </c>
      <c r="C16" s="13" t="s">
        <v>52</v>
      </c>
      <c r="D16" s="13"/>
      <c r="E16" s="13" t="s">
        <v>233</v>
      </c>
      <c r="F16" s="3">
        <v>0</v>
      </c>
      <c r="G16" s="13" t="s">
        <v>217</v>
      </c>
      <c r="H16" s="3">
        <v>1</v>
      </c>
      <c r="I16" s="13" t="s">
        <v>217</v>
      </c>
      <c r="J16" s="3">
        <v>1</v>
      </c>
      <c r="K16" s="13" t="s">
        <v>217</v>
      </c>
      <c r="L16" s="3">
        <v>1</v>
      </c>
      <c r="M16" s="13" t="s">
        <v>217</v>
      </c>
      <c r="N16" s="3">
        <v>1</v>
      </c>
      <c r="O16" s="7" t="s">
        <v>217</v>
      </c>
      <c r="P16" s="7" t="s">
        <v>213</v>
      </c>
      <c r="Q16" s="7" t="s">
        <v>217</v>
      </c>
      <c r="R16" s="7" t="s">
        <v>30</v>
      </c>
      <c r="S16" s="13" t="s">
        <v>217</v>
      </c>
      <c r="T16" s="3">
        <v>2</v>
      </c>
      <c r="U16" s="3">
        <v>2</v>
      </c>
      <c r="V16" s="3">
        <v>1</v>
      </c>
      <c r="W16" s="3">
        <v>2</v>
      </c>
      <c r="X16" s="3">
        <v>1</v>
      </c>
      <c r="Y16" s="3"/>
      <c r="Z16" s="3"/>
      <c r="AA16" s="13" t="s">
        <v>217</v>
      </c>
      <c r="AB16" s="3"/>
      <c r="AD16" s="14">
        <v>2021</v>
      </c>
      <c r="AH16" s="7"/>
      <c r="AI16" s="7"/>
      <c r="AJ16" s="7"/>
      <c r="AM16" s="7" t="s">
        <v>5</v>
      </c>
    </row>
    <row r="17" spans="1:39">
      <c r="A17" s="13" t="s">
        <v>236</v>
      </c>
      <c r="B17" s="13" t="s">
        <v>224</v>
      </c>
      <c r="E17" s="13" t="s">
        <v>209</v>
      </c>
      <c r="F17" s="3">
        <v>0</v>
      </c>
      <c r="G17" s="13" t="s">
        <v>218</v>
      </c>
      <c r="H17" s="3">
        <v>1</v>
      </c>
      <c r="I17" s="13" t="s">
        <v>218</v>
      </c>
      <c r="J17" s="3">
        <v>1</v>
      </c>
      <c r="K17" s="13" t="s">
        <v>218</v>
      </c>
      <c r="L17" s="3">
        <v>1</v>
      </c>
      <c r="M17" s="13" t="s">
        <v>218</v>
      </c>
      <c r="N17" s="3">
        <v>1</v>
      </c>
      <c r="O17" s="7" t="s">
        <v>218</v>
      </c>
      <c r="P17" s="7" t="s">
        <v>214</v>
      </c>
      <c r="Q17" s="7" t="s">
        <v>218</v>
      </c>
      <c r="R17" s="7" t="s">
        <v>31</v>
      </c>
      <c r="S17" s="13" t="s">
        <v>218</v>
      </c>
      <c r="T17" s="3">
        <v>2</v>
      </c>
      <c r="U17" s="3">
        <v>2</v>
      </c>
      <c r="V17" s="3">
        <v>1</v>
      </c>
      <c r="W17" s="3">
        <v>2</v>
      </c>
      <c r="X17" s="3">
        <v>1</v>
      </c>
      <c r="Y17" s="3"/>
      <c r="Z17" s="3"/>
      <c r="AA17" s="13" t="s">
        <v>218</v>
      </c>
      <c r="AB17" s="3"/>
      <c r="AD17" s="14">
        <v>2022</v>
      </c>
      <c r="AF17"/>
      <c r="AH17" s="7"/>
      <c r="AI17" s="7"/>
      <c r="AJ17" s="7"/>
      <c r="AM17" s="7" t="s">
        <v>23</v>
      </c>
    </row>
    <row r="18" spans="1:39">
      <c r="A18" s="13" t="s">
        <v>248</v>
      </c>
      <c r="B18" s="13" t="s">
        <v>225</v>
      </c>
      <c r="E18" s="13" t="s">
        <v>248</v>
      </c>
      <c r="F18" s="3">
        <v>0</v>
      </c>
      <c r="G18" s="13" t="s">
        <v>219</v>
      </c>
      <c r="H18" s="3">
        <v>1</v>
      </c>
      <c r="I18" s="13" t="s">
        <v>219</v>
      </c>
      <c r="J18" s="3">
        <v>1</v>
      </c>
      <c r="K18" s="13" t="s">
        <v>219</v>
      </c>
      <c r="L18" s="3">
        <v>1</v>
      </c>
      <c r="M18" s="13" t="s">
        <v>219</v>
      </c>
      <c r="N18" s="3">
        <v>1</v>
      </c>
      <c r="O18" s="7" t="s">
        <v>219</v>
      </c>
      <c r="P18" s="7" t="s">
        <v>220</v>
      </c>
      <c r="Q18" s="7" t="s">
        <v>219</v>
      </c>
      <c r="R18" s="7" t="s">
        <v>31</v>
      </c>
      <c r="S18" s="13" t="s">
        <v>219</v>
      </c>
      <c r="T18" s="3">
        <v>2</v>
      </c>
      <c r="U18" s="3">
        <v>2</v>
      </c>
      <c r="V18" s="3">
        <v>2</v>
      </c>
      <c r="W18" s="3">
        <v>1</v>
      </c>
      <c r="X18" s="3">
        <v>2</v>
      </c>
      <c r="Y18" s="3"/>
      <c r="Z18" s="3"/>
      <c r="AA18" s="13" t="s">
        <v>219</v>
      </c>
      <c r="AB18" s="3"/>
      <c r="AD18" s="14">
        <v>2023</v>
      </c>
      <c r="AF18"/>
      <c r="AH18" s="7"/>
      <c r="AI18" s="7"/>
      <c r="AJ18" s="7"/>
      <c r="AM18" s="7" t="s">
        <v>25</v>
      </c>
    </row>
    <row r="19" spans="1:39">
      <c r="A19" s="13" t="s">
        <v>246</v>
      </c>
      <c r="B19" s="13" t="s">
        <v>226</v>
      </c>
      <c r="E19" s="13" t="s">
        <v>251</v>
      </c>
      <c r="F19" s="3">
        <v>0</v>
      </c>
      <c r="G19" s="13" t="s">
        <v>221</v>
      </c>
      <c r="H19" s="3">
        <v>1</v>
      </c>
      <c r="I19" s="13" t="s">
        <v>221</v>
      </c>
      <c r="J19" s="3">
        <v>1</v>
      </c>
      <c r="K19" s="13" t="s">
        <v>221</v>
      </c>
      <c r="L19" s="3">
        <v>1</v>
      </c>
      <c r="M19" s="13" t="s">
        <v>221</v>
      </c>
      <c r="N19" s="3">
        <v>1</v>
      </c>
      <c r="O19" s="7" t="s">
        <v>221</v>
      </c>
      <c r="P19" s="7" t="s">
        <v>222</v>
      </c>
      <c r="Q19" s="7" t="s">
        <v>221</v>
      </c>
      <c r="R19" s="7" t="s">
        <v>31</v>
      </c>
      <c r="S19" s="13" t="s">
        <v>221</v>
      </c>
      <c r="T19" s="3">
        <v>2</v>
      </c>
      <c r="U19" s="3">
        <v>2</v>
      </c>
      <c r="V19" s="3">
        <v>1</v>
      </c>
      <c r="W19" s="3">
        <v>2</v>
      </c>
      <c r="X19" s="3">
        <v>1</v>
      </c>
      <c r="Y19" s="3"/>
      <c r="Z19" s="3"/>
      <c r="AA19" s="13" t="s">
        <v>221</v>
      </c>
      <c r="AB19" s="3"/>
      <c r="AD19" s="14">
        <v>2024</v>
      </c>
      <c r="AH19" s="7"/>
      <c r="AI19" s="7"/>
      <c r="AJ19" s="7"/>
      <c r="AM19" s="7" t="s">
        <v>24</v>
      </c>
    </row>
    <row r="20" spans="1:39">
      <c r="A20" s="13" t="s">
        <v>242</v>
      </c>
      <c r="B20" s="13" t="s">
        <v>227</v>
      </c>
      <c r="E20" s="13" t="s">
        <v>204</v>
      </c>
      <c r="F20" s="3">
        <v>0</v>
      </c>
      <c r="G20" s="13" t="s">
        <v>223</v>
      </c>
      <c r="H20" s="3">
        <v>1</v>
      </c>
      <c r="I20" s="13" t="s">
        <v>223</v>
      </c>
      <c r="J20" s="3">
        <v>0</v>
      </c>
      <c r="K20" s="13" t="s">
        <v>223</v>
      </c>
      <c r="L20" s="3">
        <v>1</v>
      </c>
      <c r="M20" s="13" t="s">
        <v>223</v>
      </c>
      <c r="N20" s="3">
        <v>1</v>
      </c>
      <c r="O20" s="7" t="s">
        <v>223</v>
      </c>
      <c r="P20" s="7" t="s">
        <v>224</v>
      </c>
      <c r="Q20" s="7" t="s">
        <v>223</v>
      </c>
      <c r="R20" s="7" t="s">
        <v>30</v>
      </c>
      <c r="S20" s="13" t="s">
        <v>223</v>
      </c>
      <c r="T20" s="3">
        <v>-1</v>
      </c>
      <c r="U20" s="3">
        <v>-1</v>
      </c>
      <c r="V20" s="3">
        <v>-1</v>
      </c>
      <c r="W20" s="3">
        <v>1</v>
      </c>
      <c r="X20" s="3">
        <v>-1</v>
      </c>
      <c r="Y20" s="3"/>
      <c r="Z20" s="3"/>
      <c r="AA20" s="13" t="s">
        <v>223</v>
      </c>
      <c r="AB20" s="3"/>
      <c r="AD20" s="14">
        <v>2025</v>
      </c>
      <c r="AH20" s="7"/>
      <c r="AI20" s="7"/>
      <c r="AJ20" s="7"/>
      <c r="AM20" s="7" t="s">
        <v>11</v>
      </c>
    </row>
    <row r="21" spans="1:39">
      <c r="A21" s="13" t="s">
        <v>193</v>
      </c>
      <c r="B21" s="13" t="s">
        <v>228</v>
      </c>
      <c r="E21" s="13" t="s">
        <v>246</v>
      </c>
      <c r="F21" s="3">
        <v>0</v>
      </c>
      <c r="G21" s="13" t="s">
        <v>225</v>
      </c>
      <c r="H21" s="3">
        <v>1</v>
      </c>
      <c r="I21" s="13" t="s">
        <v>225</v>
      </c>
      <c r="J21" s="3">
        <v>0</v>
      </c>
      <c r="K21" s="13" t="s">
        <v>225</v>
      </c>
      <c r="L21" s="3">
        <v>1</v>
      </c>
      <c r="M21" s="13" t="s">
        <v>225</v>
      </c>
      <c r="N21" s="3">
        <v>1</v>
      </c>
      <c r="O21" s="7" t="s">
        <v>225</v>
      </c>
      <c r="P21" s="7" t="s">
        <v>225</v>
      </c>
      <c r="Q21" s="7" t="s">
        <v>225</v>
      </c>
      <c r="R21" s="7" t="s">
        <v>30</v>
      </c>
      <c r="S21" s="13" t="s">
        <v>225</v>
      </c>
      <c r="T21" s="3">
        <v>2</v>
      </c>
      <c r="U21" s="3">
        <v>2</v>
      </c>
      <c r="V21" s="3">
        <v>1</v>
      </c>
      <c r="W21" s="3">
        <v>2</v>
      </c>
      <c r="X21" s="3">
        <v>1</v>
      </c>
      <c r="Y21" s="3"/>
      <c r="Z21" s="3"/>
      <c r="AA21" s="13" t="s">
        <v>225</v>
      </c>
      <c r="AB21" s="3"/>
      <c r="AD21" s="14">
        <v>2026</v>
      </c>
      <c r="AH21" s="7"/>
      <c r="AI21" s="7"/>
      <c r="AJ21" s="7"/>
      <c r="AM21" s="7" t="s">
        <v>11</v>
      </c>
    </row>
    <row r="22" spans="1:39">
      <c r="A22" s="13" t="s">
        <v>223</v>
      </c>
      <c r="B22" s="13" t="s">
        <v>235</v>
      </c>
      <c r="E22" s="13" t="s">
        <v>250</v>
      </c>
      <c r="F22" s="3">
        <v>0</v>
      </c>
      <c r="G22" s="13" t="s">
        <v>229</v>
      </c>
      <c r="H22" s="3">
        <v>1</v>
      </c>
      <c r="I22" s="13" t="s">
        <v>229</v>
      </c>
      <c r="J22" s="3">
        <v>1</v>
      </c>
      <c r="K22" s="13" t="s">
        <v>229</v>
      </c>
      <c r="L22" s="3">
        <v>1</v>
      </c>
      <c r="M22" s="13" t="s">
        <v>229</v>
      </c>
      <c r="N22" s="3">
        <v>1</v>
      </c>
      <c r="O22" s="7" t="s">
        <v>229</v>
      </c>
      <c r="P22" s="7" t="s">
        <v>226</v>
      </c>
      <c r="Q22" s="7" t="s">
        <v>229</v>
      </c>
      <c r="R22" s="7" t="s">
        <v>30</v>
      </c>
      <c r="S22" s="13" t="s">
        <v>229</v>
      </c>
      <c r="T22" s="3">
        <v>-1</v>
      </c>
      <c r="U22" s="3">
        <v>-1</v>
      </c>
      <c r="V22" s="3">
        <v>-1</v>
      </c>
      <c r="W22" s="3">
        <v>1</v>
      </c>
      <c r="X22" s="3">
        <v>-1</v>
      </c>
      <c r="Y22" s="3"/>
      <c r="Z22" s="3"/>
      <c r="AA22" s="13" t="s">
        <v>229</v>
      </c>
      <c r="AB22" s="3"/>
      <c r="AD22" s="14">
        <v>2027</v>
      </c>
      <c r="AH22" s="7"/>
      <c r="AI22" s="7"/>
      <c r="AJ22" s="7"/>
      <c r="AM22" s="7" t="s">
        <v>11</v>
      </c>
    </row>
    <row r="23" spans="1:39">
      <c r="A23" s="13" t="s">
        <v>225</v>
      </c>
      <c r="B23" s="13" t="s">
        <v>237</v>
      </c>
      <c r="E23" s="13" t="s">
        <v>217</v>
      </c>
      <c r="F23" s="3">
        <v>0</v>
      </c>
      <c r="G23" s="13" t="s">
        <v>230</v>
      </c>
      <c r="H23" s="3">
        <v>1</v>
      </c>
      <c r="I23" s="13" t="s">
        <v>230</v>
      </c>
      <c r="J23" s="3">
        <v>1</v>
      </c>
      <c r="K23" s="13" t="s">
        <v>230</v>
      </c>
      <c r="L23" s="3">
        <v>1</v>
      </c>
      <c r="M23" s="13" t="s">
        <v>230</v>
      </c>
      <c r="N23" s="3">
        <v>1</v>
      </c>
      <c r="O23" s="7" t="s">
        <v>230</v>
      </c>
      <c r="P23" s="7" t="s">
        <v>228</v>
      </c>
      <c r="Q23" s="7" t="s">
        <v>230</v>
      </c>
      <c r="R23" s="7" t="s">
        <v>30</v>
      </c>
      <c r="S23" s="13" t="s">
        <v>230</v>
      </c>
      <c r="T23" s="3">
        <v>2</v>
      </c>
      <c r="U23" s="3">
        <v>2</v>
      </c>
      <c r="V23" s="3">
        <v>1</v>
      </c>
      <c r="W23" s="3">
        <v>2</v>
      </c>
      <c r="X23" s="3">
        <v>1</v>
      </c>
      <c r="Y23" s="3"/>
      <c r="Z23" s="3"/>
      <c r="AA23" s="13" t="s">
        <v>230</v>
      </c>
      <c r="AB23" s="3"/>
      <c r="AD23" s="14">
        <v>2028</v>
      </c>
      <c r="AH23" s="7"/>
      <c r="AI23" s="7"/>
      <c r="AJ23" s="7"/>
      <c r="AM23" s="7" t="s">
        <v>11</v>
      </c>
    </row>
    <row r="24" spans="1:39">
      <c r="A24" s="13" t="s">
        <v>218</v>
      </c>
      <c r="B24" s="13" t="s">
        <v>241</v>
      </c>
      <c r="E24" s="13" t="s">
        <v>231</v>
      </c>
      <c r="F24" s="3">
        <v>0</v>
      </c>
      <c r="G24" s="13" t="s">
        <v>231</v>
      </c>
      <c r="H24" s="3">
        <v>1</v>
      </c>
      <c r="I24" s="13" t="s">
        <v>231</v>
      </c>
      <c r="J24" s="3">
        <v>1</v>
      </c>
      <c r="K24" s="13" t="s">
        <v>231</v>
      </c>
      <c r="L24" s="3">
        <v>1</v>
      </c>
      <c r="M24" s="13" t="s">
        <v>231</v>
      </c>
      <c r="N24" s="3">
        <v>1</v>
      </c>
      <c r="O24" s="7" t="s">
        <v>231</v>
      </c>
      <c r="P24" s="7" t="s">
        <v>227</v>
      </c>
      <c r="Q24" s="7" t="s">
        <v>231</v>
      </c>
      <c r="R24" s="7" t="s">
        <v>30</v>
      </c>
      <c r="S24" s="13" t="s">
        <v>231</v>
      </c>
      <c r="T24" s="3">
        <v>2</v>
      </c>
      <c r="U24" s="3">
        <v>2</v>
      </c>
      <c r="V24" s="3">
        <v>1</v>
      </c>
      <c r="W24" s="3">
        <v>2</v>
      </c>
      <c r="X24" s="3">
        <v>1</v>
      </c>
      <c r="Y24" s="3"/>
      <c r="Z24" s="3"/>
      <c r="AA24" s="13" t="s">
        <v>231</v>
      </c>
      <c r="AB24" s="3"/>
      <c r="AD24" s="14">
        <v>2029</v>
      </c>
      <c r="AH24" s="7"/>
      <c r="AI24" s="7"/>
      <c r="AJ24" s="7"/>
      <c r="AM24" s="7"/>
    </row>
    <row r="25" spans="1:39">
      <c r="A25" s="13" t="s">
        <v>221</v>
      </c>
      <c r="B25" s="13" t="s">
        <v>245</v>
      </c>
      <c r="E25" s="13" t="s">
        <v>252</v>
      </c>
      <c r="F25" s="3">
        <v>0</v>
      </c>
      <c r="G25" s="13" t="s">
        <v>232</v>
      </c>
      <c r="H25" s="3">
        <v>1</v>
      </c>
      <c r="I25" s="13" t="s">
        <v>232</v>
      </c>
      <c r="J25" s="3">
        <v>1</v>
      </c>
      <c r="K25" s="13" t="s">
        <v>232</v>
      </c>
      <c r="L25" s="3">
        <v>1</v>
      </c>
      <c r="M25" s="13" t="s">
        <v>232</v>
      </c>
      <c r="N25" s="3">
        <v>1</v>
      </c>
      <c r="O25" s="7" t="s">
        <v>232</v>
      </c>
      <c r="P25" s="7" t="s">
        <v>226</v>
      </c>
      <c r="Q25" s="7" t="s">
        <v>232</v>
      </c>
      <c r="R25" s="7" t="s">
        <v>31</v>
      </c>
      <c r="S25" s="13" t="s">
        <v>232</v>
      </c>
      <c r="T25" s="3">
        <v>-1</v>
      </c>
      <c r="U25" s="3">
        <v>-1</v>
      </c>
      <c r="V25" s="3">
        <v>-1</v>
      </c>
      <c r="W25" s="3">
        <v>1</v>
      </c>
      <c r="X25" s="3">
        <v>-1</v>
      </c>
      <c r="Y25" s="3"/>
      <c r="Z25" s="3"/>
      <c r="AA25" s="13" t="s">
        <v>232</v>
      </c>
      <c r="AB25" s="3"/>
      <c r="AD25" s="14">
        <v>2030</v>
      </c>
      <c r="AH25" s="7"/>
      <c r="AI25" s="7"/>
      <c r="AJ25" s="7"/>
      <c r="AM25" s="7"/>
    </row>
    <row r="26" spans="1:39">
      <c r="A26" s="13" t="s">
        <v>197</v>
      </c>
      <c r="B26" s="13" t="s">
        <v>247</v>
      </c>
      <c r="E26" s="13" t="s">
        <v>194</v>
      </c>
      <c r="F26" s="3">
        <v>0</v>
      </c>
      <c r="G26" s="13" t="s">
        <v>233</v>
      </c>
      <c r="H26" s="3">
        <v>1</v>
      </c>
      <c r="I26" s="13" t="s">
        <v>233</v>
      </c>
      <c r="J26" s="3">
        <v>1</v>
      </c>
      <c r="K26" s="13" t="s">
        <v>233</v>
      </c>
      <c r="L26" s="3">
        <v>1</v>
      </c>
      <c r="M26" s="13" t="s">
        <v>233</v>
      </c>
      <c r="N26" s="3">
        <v>1</v>
      </c>
      <c r="O26" s="7" t="s">
        <v>233</v>
      </c>
      <c r="P26" s="7" t="s">
        <v>228</v>
      </c>
      <c r="Q26" s="7" t="s">
        <v>233</v>
      </c>
      <c r="R26" s="7" t="s">
        <v>31</v>
      </c>
      <c r="S26" s="13" t="s">
        <v>233</v>
      </c>
      <c r="T26" s="3">
        <v>2</v>
      </c>
      <c r="U26" s="3">
        <v>2</v>
      </c>
      <c r="V26" s="3">
        <v>1</v>
      </c>
      <c r="W26" s="3">
        <v>2</v>
      </c>
      <c r="X26" s="3">
        <v>1</v>
      </c>
      <c r="Y26" s="3"/>
      <c r="Z26" s="3"/>
      <c r="AA26" s="13" t="s">
        <v>233</v>
      </c>
      <c r="AB26" s="3"/>
      <c r="AD26" s="14">
        <v>2031</v>
      </c>
      <c r="AH26" s="7"/>
      <c r="AI26" s="7"/>
      <c r="AJ26" s="7"/>
      <c r="AM26" s="7"/>
    </row>
    <row r="27" spans="1:39">
      <c r="A27" s="13" t="s">
        <v>219</v>
      </c>
      <c r="B27" s="13" t="s">
        <v>249</v>
      </c>
      <c r="E27" s="13" t="s">
        <v>221</v>
      </c>
      <c r="F27" s="3">
        <v>0</v>
      </c>
      <c r="G27" s="13" t="s">
        <v>234</v>
      </c>
      <c r="H27" s="3">
        <v>1</v>
      </c>
      <c r="I27" s="13" t="s">
        <v>234</v>
      </c>
      <c r="J27" s="3">
        <v>1</v>
      </c>
      <c r="K27" s="13" t="s">
        <v>234</v>
      </c>
      <c r="L27" s="3">
        <v>1</v>
      </c>
      <c r="M27" s="13" t="s">
        <v>234</v>
      </c>
      <c r="N27" s="3">
        <v>1</v>
      </c>
      <c r="O27" s="7" t="s">
        <v>234</v>
      </c>
      <c r="P27" s="7" t="s">
        <v>235</v>
      </c>
      <c r="Q27" s="7" t="s">
        <v>234</v>
      </c>
      <c r="R27" s="7" t="s">
        <v>30</v>
      </c>
      <c r="S27" s="13" t="s">
        <v>234</v>
      </c>
      <c r="T27" s="3">
        <v>-1</v>
      </c>
      <c r="U27" s="3">
        <v>-1</v>
      </c>
      <c r="V27" s="3">
        <v>-1</v>
      </c>
      <c r="W27" s="3">
        <v>1</v>
      </c>
      <c r="X27" s="3">
        <v>-1</v>
      </c>
      <c r="Y27" s="3"/>
      <c r="Z27" s="3"/>
      <c r="AA27" s="13" t="s">
        <v>234</v>
      </c>
      <c r="AB27" s="3"/>
      <c r="AD27" s="14">
        <v>2032</v>
      </c>
      <c r="AH27" s="7"/>
      <c r="AI27" s="7"/>
      <c r="AJ27" s="7"/>
      <c r="AM27" s="7"/>
    </row>
    <row r="28" spans="1:39">
      <c r="A28" s="13" t="s">
        <v>194</v>
      </c>
      <c r="B28" s="13" t="s">
        <v>259</v>
      </c>
      <c r="E28" s="13" t="s">
        <v>218</v>
      </c>
      <c r="F28" s="3">
        <v>0</v>
      </c>
      <c r="G28" s="13" t="s">
        <v>236</v>
      </c>
      <c r="H28" s="3">
        <v>1</v>
      </c>
      <c r="I28" s="13" t="s">
        <v>236</v>
      </c>
      <c r="J28" s="3">
        <v>1</v>
      </c>
      <c r="K28" s="13" t="s">
        <v>236</v>
      </c>
      <c r="L28" s="3">
        <v>1</v>
      </c>
      <c r="M28" s="13" t="s">
        <v>236</v>
      </c>
      <c r="N28" s="3">
        <v>1</v>
      </c>
      <c r="O28" s="7" t="s">
        <v>236</v>
      </c>
      <c r="P28" s="7" t="s">
        <v>358</v>
      </c>
      <c r="Q28" s="7" t="s">
        <v>236</v>
      </c>
      <c r="R28" s="7" t="s">
        <v>30</v>
      </c>
      <c r="S28" s="13" t="s">
        <v>236</v>
      </c>
      <c r="T28" s="3">
        <v>2</v>
      </c>
      <c r="U28" s="3">
        <v>2</v>
      </c>
      <c r="V28" s="3">
        <v>1</v>
      </c>
      <c r="W28" s="3">
        <v>2</v>
      </c>
      <c r="X28" s="3">
        <v>1</v>
      </c>
      <c r="Y28" s="3"/>
      <c r="Z28" s="3"/>
      <c r="AA28" s="13" t="s">
        <v>236</v>
      </c>
      <c r="AB28" s="3">
        <v>100</v>
      </c>
      <c r="AD28" s="14">
        <v>2033</v>
      </c>
      <c r="AH28" s="7"/>
      <c r="AI28" s="7"/>
      <c r="AJ28" s="7"/>
      <c r="AM28" s="7"/>
    </row>
    <row r="29" spans="1:39">
      <c r="A29" s="13" t="s">
        <v>233</v>
      </c>
      <c r="B29" s="13" t="s">
        <v>260</v>
      </c>
      <c r="E29" s="13" t="s">
        <v>195</v>
      </c>
      <c r="F29" s="3">
        <v>0</v>
      </c>
      <c r="G29" s="13" t="s">
        <v>242</v>
      </c>
      <c r="H29" s="3">
        <v>1</v>
      </c>
      <c r="I29" s="13" t="s">
        <v>242</v>
      </c>
      <c r="J29" s="3">
        <v>1</v>
      </c>
      <c r="K29" s="13" t="s">
        <v>242</v>
      </c>
      <c r="L29" s="3">
        <v>1</v>
      </c>
      <c r="M29" s="13" t="s">
        <v>242</v>
      </c>
      <c r="N29" s="3">
        <v>1</v>
      </c>
      <c r="O29" s="7" t="s">
        <v>242</v>
      </c>
      <c r="P29" s="7" t="s">
        <v>241</v>
      </c>
      <c r="Q29" s="7" t="s">
        <v>242</v>
      </c>
      <c r="R29" s="7" t="s">
        <v>30</v>
      </c>
      <c r="S29" s="13" t="s">
        <v>242</v>
      </c>
      <c r="T29" s="3">
        <v>-1</v>
      </c>
      <c r="U29" s="3">
        <v>-1</v>
      </c>
      <c r="V29" s="3">
        <v>-1</v>
      </c>
      <c r="W29" s="3">
        <v>1</v>
      </c>
      <c r="X29" s="3">
        <v>-1</v>
      </c>
      <c r="Y29" s="3"/>
      <c r="Z29" s="3"/>
      <c r="AA29" s="13" t="s">
        <v>242</v>
      </c>
      <c r="AB29" s="3"/>
      <c r="AD29" s="14">
        <v>2034</v>
      </c>
      <c r="AH29" s="7"/>
      <c r="AI29" s="7"/>
      <c r="AJ29" s="7"/>
      <c r="AM29" s="7"/>
    </row>
    <row r="30" spans="1:39">
      <c r="A30" s="13" t="s">
        <v>243</v>
      </c>
      <c r="B30" s="13" t="s">
        <v>269</v>
      </c>
      <c r="E30" s="13" t="s">
        <v>282</v>
      </c>
      <c r="F30" s="3">
        <v>0</v>
      </c>
      <c r="G30" s="13" t="s">
        <v>243</v>
      </c>
      <c r="H30" s="3">
        <v>1</v>
      </c>
      <c r="I30" s="13" t="s">
        <v>243</v>
      </c>
      <c r="J30" s="3">
        <v>1</v>
      </c>
      <c r="K30" s="13" t="s">
        <v>243</v>
      </c>
      <c r="L30" s="3">
        <v>1</v>
      </c>
      <c r="M30" s="13" t="s">
        <v>243</v>
      </c>
      <c r="N30" s="3">
        <v>1</v>
      </c>
      <c r="O30" s="7" t="s">
        <v>243</v>
      </c>
      <c r="P30" s="7" t="s">
        <v>241</v>
      </c>
      <c r="Q30" s="7" t="s">
        <v>243</v>
      </c>
      <c r="R30" s="7" t="s">
        <v>31</v>
      </c>
      <c r="S30" s="13" t="s">
        <v>243</v>
      </c>
      <c r="T30" s="3">
        <v>-1</v>
      </c>
      <c r="U30" s="3">
        <v>-1</v>
      </c>
      <c r="V30" s="3">
        <v>-1</v>
      </c>
      <c r="W30" s="3">
        <v>1</v>
      </c>
      <c r="X30" s="3">
        <v>-1</v>
      </c>
      <c r="Y30" s="3"/>
      <c r="Z30" s="3"/>
      <c r="AA30" s="13" t="s">
        <v>243</v>
      </c>
      <c r="AB30" s="3"/>
      <c r="AD30" s="14">
        <v>2035</v>
      </c>
      <c r="AH30" s="7"/>
      <c r="AI30" s="7"/>
      <c r="AJ30" s="7"/>
      <c r="AM30" s="7"/>
    </row>
    <row r="31" spans="1:39">
      <c r="A31" s="13" t="s">
        <v>244</v>
      </c>
      <c r="B31" s="13" t="s">
        <v>270</v>
      </c>
      <c r="E31" s="13" t="s">
        <v>296</v>
      </c>
      <c r="F31" s="3">
        <v>0</v>
      </c>
      <c r="G31" s="13" t="s">
        <v>244</v>
      </c>
      <c r="H31" s="3">
        <v>1</v>
      </c>
      <c r="I31" s="13" t="s">
        <v>244</v>
      </c>
      <c r="J31" s="3">
        <v>1</v>
      </c>
      <c r="K31" s="13" t="s">
        <v>244</v>
      </c>
      <c r="L31" s="3">
        <v>1</v>
      </c>
      <c r="M31" s="13" t="s">
        <v>244</v>
      </c>
      <c r="N31" s="3">
        <v>1</v>
      </c>
      <c r="O31" s="7" t="s">
        <v>244</v>
      </c>
      <c r="P31" s="7" t="s">
        <v>245</v>
      </c>
      <c r="Q31" s="7" t="s">
        <v>244</v>
      </c>
      <c r="R31" s="7" t="s">
        <v>31</v>
      </c>
      <c r="S31" s="13" t="s">
        <v>244</v>
      </c>
      <c r="T31" s="3">
        <v>-1</v>
      </c>
      <c r="U31" s="3">
        <v>-1</v>
      </c>
      <c r="V31" s="3">
        <v>-1</v>
      </c>
      <c r="W31" s="3">
        <v>1</v>
      </c>
      <c r="X31" s="3">
        <v>-1</v>
      </c>
      <c r="AA31" s="13" t="s">
        <v>244</v>
      </c>
      <c r="AB31" s="3"/>
      <c r="AD31" s="14">
        <v>2036</v>
      </c>
      <c r="AH31" s="7"/>
      <c r="AI31" s="7"/>
      <c r="AJ31" s="7"/>
      <c r="AM31" s="7"/>
    </row>
    <row r="32" spans="1:39">
      <c r="A32" s="13" t="s">
        <v>250</v>
      </c>
      <c r="B32" s="13" t="s">
        <v>273</v>
      </c>
      <c r="E32" s="13" t="s">
        <v>297</v>
      </c>
      <c r="F32" s="3">
        <v>0</v>
      </c>
      <c r="G32" s="13" t="s">
        <v>246</v>
      </c>
      <c r="H32" s="3">
        <v>1</v>
      </c>
      <c r="I32" s="13" t="s">
        <v>246</v>
      </c>
      <c r="J32" s="3">
        <v>1</v>
      </c>
      <c r="K32" s="13" t="s">
        <v>246</v>
      </c>
      <c r="L32" s="3">
        <v>1</v>
      </c>
      <c r="M32" s="13" t="s">
        <v>246</v>
      </c>
      <c r="N32" s="3">
        <v>1</v>
      </c>
      <c r="O32" s="7" t="s">
        <v>246</v>
      </c>
      <c r="P32" s="7" t="s">
        <v>247</v>
      </c>
      <c r="Q32" s="7" t="s">
        <v>246</v>
      </c>
      <c r="R32" s="7" t="s">
        <v>30</v>
      </c>
      <c r="S32" s="13" t="s">
        <v>246</v>
      </c>
      <c r="T32" s="3">
        <v>2</v>
      </c>
      <c r="U32" s="3">
        <v>2</v>
      </c>
      <c r="V32" s="3">
        <v>1</v>
      </c>
      <c r="W32" s="3">
        <v>2</v>
      </c>
      <c r="X32" s="3">
        <v>1</v>
      </c>
      <c r="AA32" s="13" t="s">
        <v>246</v>
      </c>
      <c r="AB32" s="3"/>
      <c r="AD32" s="14">
        <v>2037</v>
      </c>
      <c r="AH32" s="7"/>
      <c r="AI32" s="7"/>
      <c r="AJ32" s="7"/>
      <c r="AM32" s="7"/>
    </row>
    <row r="33" spans="1:39">
      <c r="A33" s="13" t="s">
        <v>251</v>
      </c>
      <c r="B33" s="13" t="s">
        <v>274</v>
      </c>
      <c r="E33" s="13" t="s">
        <v>298</v>
      </c>
      <c r="F33" s="3">
        <v>0</v>
      </c>
      <c r="G33" s="13" t="s">
        <v>248</v>
      </c>
      <c r="H33" s="3">
        <v>1</v>
      </c>
      <c r="I33" s="13" t="s">
        <v>248</v>
      </c>
      <c r="J33" s="3">
        <v>1</v>
      </c>
      <c r="K33" s="13" t="s">
        <v>248</v>
      </c>
      <c r="L33" s="3">
        <v>1</v>
      </c>
      <c r="M33" s="13" t="s">
        <v>248</v>
      </c>
      <c r="N33" s="3">
        <v>1</v>
      </c>
      <c r="O33" s="7" t="s">
        <v>248</v>
      </c>
      <c r="P33" s="7" t="s">
        <v>249</v>
      </c>
      <c r="Q33" s="7" t="s">
        <v>248</v>
      </c>
      <c r="R33" s="7" t="s">
        <v>30</v>
      </c>
      <c r="S33" s="13" t="s">
        <v>248</v>
      </c>
      <c r="T33" s="3">
        <v>2</v>
      </c>
      <c r="U33" s="3">
        <v>2</v>
      </c>
      <c r="V33" s="3">
        <v>1</v>
      </c>
      <c r="W33" s="3">
        <v>2</v>
      </c>
      <c r="X33" s="3">
        <v>1</v>
      </c>
      <c r="AA33" s="13" t="s">
        <v>248</v>
      </c>
      <c r="AB33" s="3"/>
      <c r="AD33" s="14">
        <v>2038</v>
      </c>
      <c r="AH33" s="7"/>
      <c r="AI33" s="7"/>
      <c r="AJ33" s="7"/>
      <c r="AM33" s="7"/>
    </row>
    <row r="34" spans="1:39">
      <c r="A34" s="13" t="s">
        <v>252</v>
      </c>
      <c r="B34" s="13" t="s">
        <v>277</v>
      </c>
      <c r="E34" s="13" t="s">
        <v>283</v>
      </c>
      <c r="F34" s="3">
        <v>0</v>
      </c>
      <c r="G34" s="13" t="s">
        <v>250</v>
      </c>
      <c r="H34" s="3">
        <v>1</v>
      </c>
      <c r="I34" s="13" t="s">
        <v>250</v>
      </c>
      <c r="J34" s="3">
        <v>1</v>
      </c>
      <c r="K34" s="13" t="s">
        <v>250</v>
      </c>
      <c r="L34" s="3">
        <v>1</v>
      </c>
      <c r="M34" s="13" t="s">
        <v>250</v>
      </c>
      <c r="N34" s="3">
        <v>1</v>
      </c>
      <c r="O34" s="7" t="s">
        <v>250</v>
      </c>
      <c r="P34" s="7" t="s">
        <v>247</v>
      </c>
      <c r="Q34" s="7" t="s">
        <v>250</v>
      </c>
      <c r="R34" s="7" t="s">
        <v>31</v>
      </c>
      <c r="S34" s="13" t="s">
        <v>250</v>
      </c>
      <c r="T34" s="3">
        <v>2</v>
      </c>
      <c r="U34" s="3">
        <v>2</v>
      </c>
      <c r="V34" s="3">
        <v>1</v>
      </c>
      <c r="W34" s="3">
        <v>2</v>
      </c>
      <c r="X34" s="3">
        <v>1</v>
      </c>
      <c r="AA34" s="13" t="s">
        <v>250</v>
      </c>
      <c r="AB34" s="3"/>
      <c r="AD34" s="14">
        <v>2039</v>
      </c>
      <c r="AH34" s="7"/>
      <c r="AI34" s="7"/>
      <c r="AJ34" s="7"/>
      <c r="AM34" s="7"/>
    </row>
    <row r="35" spans="1:39">
      <c r="A35" s="13" t="s">
        <v>253</v>
      </c>
      <c r="B35" s="13" t="s">
        <v>280</v>
      </c>
      <c r="E35" s="13" t="s">
        <v>284</v>
      </c>
      <c r="F35" s="3">
        <v>0</v>
      </c>
      <c r="G35" s="13" t="s">
        <v>251</v>
      </c>
      <c r="H35" s="3">
        <v>1</v>
      </c>
      <c r="I35" s="13" t="s">
        <v>251</v>
      </c>
      <c r="J35" s="3">
        <v>1</v>
      </c>
      <c r="K35" s="13" t="s">
        <v>251</v>
      </c>
      <c r="L35" s="3">
        <v>1</v>
      </c>
      <c r="M35" s="13" t="s">
        <v>251</v>
      </c>
      <c r="N35" s="3">
        <v>1</v>
      </c>
      <c r="O35" s="7" t="s">
        <v>251</v>
      </c>
      <c r="P35" s="7" t="s">
        <v>249</v>
      </c>
      <c r="Q35" s="7" t="s">
        <v>251</v>
      </c>
      <c r="R35" s="7" t="s">
        <v>31</v>
      </c>
      <c r="S35" s="13" t="s">
        <v>251</v>
      </c>
      <c r="T35" s="3">
        <v>2</v>
      </c>
      <c r="U35" s="3">
        <v>2</v>
      </c>
      <c r="V35" s="3">
        <v>1</v>
      </c>
      <c r="W35" s="3">
        <v>2</v>
      </c>
      <c r="X35" s="3">
        <v>1</v>
      </c>
      <c r="AA35" s="13" t="s">
        <v>251</v>
      </c>
      <c r="AB35" s="3"/>
      <c r="AD35" s="14">
        <v>2040</v>
      </c>
      <c r="AH35" s="7"/>
      <c r="AI35" s="7"/>
      <c r="AJ35" s="7"/>
      <c r="AM35" s="7"/>
    </row>
    <row r="36" spans="1:39">
      <c r="A36" s="13" t="s">
        <v>254</v>
      </c>
      <c r="B36" s="13" t="s">
        <v>281</v>
      </c>
      <c r="E36" s="13" t="s">
        <v>215</v>
      </c>
      <c r="F36" s="3">
        <v>0</v>
      </c>
      <c r="G36" s="13" t="s">
        <v>252</v>
      </c>
      <c r="H36" s="3">
        <v>1</v>
      </c>
      <c r="I36" s="13" t="s">
        <v>252</v>
      </c>
      <c r="J36" s="3">
        <v>1</v>
      </c>
      <c r="K36" s="13" t="s">
        <v>252</v>
      </c>
      <c r="L36" s="3">
        <v>1</v>
      </c>
      <c r="M36" s="13" t="s">
        <v>252</v>
      </c>
      <c r="N36" s="3">
        <v>1</v>
      </c>
      <c r="O36" s="7" t="s">
        <v>252</v>
      </c>
      <c r="P36" s="7" t="s">
        <v>227</v>
      </c>
      <c r="Q36" s="7" t="s">
        <v>252</v>
      </c>
      <c r="R36" s="7" t="s">
        <v>31</v>
      </c>
      <c r="S36" s="13" t="s">
        <v>252</v>
      </c>
      <c r="T36" s="3">
        <v>2</v>
      </c>
      <c r="U36" s="3">
        <v>2</v>
      </c>
      <c r="V36" s="3">
        <v>1</v>
      </c>
      <c r="W36" s="3">
        <v>2</v>
      </c>
      <c r="X36" s="3">
        <v>1</v>
      </c>
      <c r="AA36" s="13" t="s">
        <v>252</v>
      </c>
      <c r="AB36" s="3"/>
      <c r="AD36" s="14">
        <v>2041</v>
      </c>
      <c r="AH36" s="7"/>
      <c r="AI36" s="7"/>
      <c r="AJ36" s="7"/>
      <c r="AM36" s="7"/>
    </row>
    <row r="37" spans="1:39">
      <c r="A37" s="13" t="s">
        <v>255</v>
      </c>
      <c r="B37" s="13" t="s">
        <v>282</v>
      </c>
      <c r="E37" s="13" t="s">
        <v>219</v>
      </c>
      <c r="F37" s="3">
        <v>0</v>
      </c>
      <c r="G37" s="13" t="s">
        <v>253</v>
      </c>
      <c r="H37" s="3">
        <v>1</v>
      </c>
      <c r="I37" s="13" t="s">
        <v>253</v>
      </c>
      <c r="J37" s="3">
        <v>1</v>
      </c>
      <c r="K37" s="13" t="s">
        <v>253</v>
      </c>
      <c r="L37" s="3">
        <v>1</v>
      </c>
      <c r="M37" s="13" t="s">
        <v>253</v>
      </c>
      <c r="N37" s="3">
        <v>1</v>
      </c>
      <c r="O37" s="7" t="s">
        <v>253</v>
      </c>
      <c r="P37" s="7" t="s">
        <v>245</v>
      </c>
      <c r="Q37" s="7" t="s">
        <v>253</v>
      </c>
      <c r="R37" s="7" t="s">
        <v>30</v>
      </c>
      <c r="S37" s="13" t="s">
        <v>253</v>
      </c>
      <c r="T37" s="3">
        <v>-1</v>
      </c>
      <c r="U37" s="3">
        <v>-1</v>
      </c>
      <c r="V37" s="3">
        <v>-1</v>
      </c>
      <c r="W37" s="3">
        <v>1</v>
      </c>
      <c r="X37" s="3">
        <v>-1</v>
      </c>
      <c r="AA37" s="13" t="s">
        <v>253</v>
      </c>
      <c r="AB37" s="3"/>
      <c r="AD37" s="14">
        <v>2042</v>
      </c>
      <c r="AH37" s="7"/>
      <c r="AI37" s="7"/>
      <c r="AJ37" s="7"/>
      <c r="AM37" s="7"/>
    </row>
    <row r="38" spans="1:39">
      <c r="A38" s="13" t="s">
        <v>256</v>
      </c>
      <c r="B38" s="13" t="s">
        <v>283</v>
      </c>
      <c r="E38" s="13" t="s">
        <v>380</v>
      </c>
      <c r="F38" s="3">
        <v>0</v>
      </c>
      <c r="G38" s="13" t="s">
        <v>254</v>
      </c>
      <c r="H38" s="3">
        <v>1</v>
      </c>
      <c r="I38" s="13" t="s">
        <v>254</v>
      </c>
      <c r="J38" s="3">
        <v>0</v>
      </c>
      <c r="K38" s="13" t="s">
        <v>254</v>
      </c>
      <c r="L38" s="3">
        <v>1</v>
      </c>
      <c r="M38" s="13" t="s">
        <v>254</v>
      </c>
      <c r="N38" s="3">
        <v>1</v>
      </c>
      <c r="O38" s="7" t="s">
        <v>254</v>
      </c>
      <c r="P38" s="7" t="s">
        <v>259</v>
      </c>
      <c r="Q38" s="7" t="s">
        <v>254</v>
      </c>
      <c r="R38" s="7" t="s">
        <v>30</v>
      </c>
      <c r="S38" s="13" t="s">
        <v>254</v>
      </c>
      <c r="T38" s="3">
        <v>2</v>
      </c>
      <c r="U38" s="3">
        <v>2</v>
      </c>
      <c r="V38" s="3">
        <v>1</v>
      </c>
      <c r="W38" s="3">
        <v>2</v>
      </c>
      <c r="X38" s="3">
        <v>1</v>
      </c>
      <c r="AA38" s="13" t="s">
        <v>254</v>
      </c>
      <c r="AB38" s="3">
        <v>10</v>
      </c>
      <c r="AD38" s="14">
        <v>2043</v>
      </c>
      <c r="AH38" s="7"/>
      <c r="AI38" s="7"/>
      <c r="AJ38" s="7"/>
      <c r="AM38" s="7"/>
    </row>
    <row r="39" spans="1:39">
      <c r="A39" s="13" t="s">
        <v>257</v>
      </c>
      <c r="B39" s="13" t="s">
        <v>284</v>
      </c>
      <c r="E39" s="13" t="s">
        <v>268</v>
      </c>
      <c r="F39" s="3">
        <v>0</v>
      </c>
      <c r="G39" s="13" t="s">
        <v>255</v>
      </c>
      <c r="H39" s="3">
        <v>1</v>
      </c>
      <c r="I39" s="13" t="s">
        <v>255</v>
      </c>
      <c r="J39" s="3">
        <v>0</v>
      </c>
      <c r="K39" s="13" t="s">
        <v>255</v>
      </c>
      <c r="L39" s="3">
        <v>1</v>
      </c>
      <c r="M39" s="13" t="s">
        <v>255</v>
      </c>
      <c r="N39" s="3">
        <v>1</v>
      </c>
      <c r="O39" s="7" t="s">
        <v>255</v>
      </c>
      <c r="P39" s="7" t="s">
        <v>259</v>
      </c>
      <c r="Q39" s="7" t="s">
        <v>255</v>
      </c>
      <c r="R39" s="7" t="s">
        <v>30</v>
      </c>
      <c r="S39" s="13" t="s">
        <v>255</v>
      </c>
      <c r="T39" s="3">
        <v>2</v>
      </c>
      <c r="U39" s="3">
        <v>2</v>
      </c>
      <c r="V39" s="3">
        <v>1</v>
      </c>
      <c r="W39" s="3">
        <v>2</v>
      </c>
      <c r="X39" s="3">
        <v>1</v>
      </c>
      <c r="AA39" s="13" t="s">
        <v>255</v>
      </c>
      <c r="AB39" s="3">
        <v>9</v>
      </c>
      <c r="AD39" s="14">
        <v>2044</v>
      </c>
      <c r="AH39" s="7"/>
      <c r="AI39" s="7"/>
      <c r="AJ39" s="7"/>
      <c r="AM39" s="7"/>
    </row>
    <row r="40" spans="1:39">
      <c r="A40" s="13" t="s">
        <v>258</v>
      </c>
      <c r="B40" s="13" t="s">
        <v>288</v>
      </c>
      <c r="E40" s="13" t="s">
        <v>271</v>
      </c>
      <c r="F40" s="3">
        <v>0</v>
      </c>
      <c r="G40" s="13" t="s">
        <v>256</v>
      </c>
      <c r="H40" s="3">
        <v>1</v>
      </c>
      <c r="I40" s="13" t="s">
        <v>256</v>
      </c>
      <c r="J40" s="3">
        <v>0</v>
      </c>
      <c r="K40" s="13" t="s">
        <v>256</v>
      </c>
      <c r="L40" s="3">
        <v>1</v>
      </c>
      <c r="M40" s="13" t="s">
        <v>256</v>
      </c>
      <c r="N40" s="3">
        <v>1</v>
      </c>
      <c r="O40" s="7" t="s">
        <v>256</v>
      </c>
      <c r="P40" s="7" t="s">
        <v>259</v>
      </c>
      <c r="Q40" s="7" t="s">
        <v>256</v>
      </c>
      <c r="R40" s="7" t="s">
        <v>30</v>
      </c>
      <c r="S40" s="13" t="s">
        <v>256</v>
      </c>
      <c r="T40" s="3">
        <v>2</v>
      </c>
      <c r="U40" s="3">
        <v>2</v>
      </c>
      <c r="V40" s="3">
        <v>1</v>
      </c>
      <c r="W40" s="3">
        <v>2</v>
      </c>
      <c r="X40" s="3">
        <v>1</v>
      </c>
      <c r="AA40" s="13" t="s">
        <v>256</v>
      </c>
      <c r="AB40" s="3">
        <v>8</v>
      </c>
      <c r="AD40" s="14">
        <v>2045</v>
      </c>
      <c r="AH40" s="7"/>
      <c r="AI40" s="7"/>
      <c r="AJ40" s="7"/>
      <c r="AM40" s="7"/>
    </row>
    <row r="41" spans="1:39">
      <c r="A41" s="13" t="s">
        <v>261</v>
      </c>
      <c r="B41" s="13" t="s">
        <v>289</v>
      </c>
      <c r="E41" s="13" t="s">
        <v>272</v>
      </c>
      <c r="F41" s="3">
        <v>0</v>
      </c>
      <c r="G41" s="13" t="s">
        <v>257</v>
      </c>
      <c r="H41" s="3">
        <v>1</v>
      </c>
      <c r="I41" s="13" t="s">
        <v>257</v>
      </c>
      <c r="J41" s="3">
        <v>0</v>
      </c>
      <c r="K41" s="13" t="s">
        <v>257</v>
      </c>
      <c r="L41" s="3">
        <v>1</v>
      </c>
      <c r="M41" s="13" t="s">
        <v>257</v>
      </c>
      <c r="N41" s="3">
        <v>1</v>
      </c>
      <c r="O41" s="7" t="s">
        <v>257</v>
      </c>
      <c r="P41" s="7" t="s">
        <v>259</v>
      </c>
      <c r="Q41" s="7" t="s">
        <v>257</v>
      </c>
      <c r="R41" s="7" t="s">
        <v>30</v>
      </c>
      <c r="S41" s="13" t="s">
        <v>257</v>
      </c>
      <c r="T41" s="3">
        <v>2</v>
      </c>
      <c r="U41" s="3">
        <v>2</v>
      </c>
      <c r="V41" s="3">
        <v>1</v>
      </c>
      <c r="W41" s="3">
        <v>2</v>
      </c>
      <c r="X41" s="3">
        <v>1</v>
      </c>
      <c r="AA41" s="13" t="s">
        <v>257</v>
      </c>
      <c r="AB41" s="3">
        <v>7</v>
      </c>
      <c r="AD41" s="14">
        <v>2046</v>
      </c>
      <c r="AH41" s="7"/>
      <c r="AI41" s="7"/>
      <c r="AJ41" s="7"/>
      <c r="AM41" s="7"/>
    </row>
    <row r="42" spans="1:39">
      <c r="A42" s="13" t="s">
        <v>268</v>
      </c>
      <c r="B42" s="13" t="s">
        <v>290</v>
      </c>
      <c r="E42" s="13" t="s">
        <v>223</v>
      </c>
      <c r="F42" s="3">
        <v>0</v>
      </c>
      <c r="G42" s="13" t="s">
        <v>258</v>
      </c>
      <c r="H42" s="3">
        <v>1</v>
      </c>
      <c r="I42" s="13" t="s">
        <v>258</v>
      </c>
      <c r="J42" s="3">
        <v>0</v>
      </c>
      <c r="K42" s="13" t="s">
        <v>258</v>
      </c>
      <c r="L42" s="3">
        <v>1</v>
      </c>
      <c r="M42" s="13" t="s">
        <v>258</v>
      </c>
      <c r="N42" s="3">
        <v>1</v>
      </c>
      <c r="O42" s="7" t="s">
        <v>258</v>
      </c>
      <c r="P42" s="7" t="s">
        <v>259</v>
      </c>
      <c r="Q42" s="7" t="s">
        <v>258</v>
      </c>
      <c r="R42" s="7" t="s">
        <v>30</v>
      </c>
      <c r="S42" s="13" t="s">
        <v>258</v>
      </c>
      <c r="T42" s="3">
        <v>2</v>
      </c>
      <c r="U42" s="3">
        <v>2</v>
      </c>
      <c r="V42" s="3">
        <v>1</v>
      </c>
      <c r="W42" s="3">
        <v>2</v>
      </c>
      <c r="X42" s="3">
        <v>1</v>
      </c>
      <c r="AA42" s="13" t="s">
        <v>258</v>
      </c>
      <c r="AB42" s="3">
        <v>6</v>
      </c>
      <c r="AD42" s="14">
        <v>2047</v>
      </c>
      <c r="AH42" s="7"/>
      <c r="AI42" s="7"/>
      <c r="AJ42" s="7"/>
      <c r="AM42" s="7"/>
    </row>
    <row r="43" spans="1:39">
      <c r="A43" s="13" t="s">
        <v>271</v>
      </c>
      <c r="B43" s="13" t="s">
        <v>291</v>
      </c>
      <c r="E43" s="13" t="s">
        <v>229</v>
      </c>
      <c r="F43" s="3">
        <v>0</v>
      </c>
      <c r="G43" s="13" t="s">
        <v>261</v>
      </c>
      <c r="H43" s="3">
        <v>0</v>
      </c>
      <c r="I43" s="13" t="s">
        <v>261</v>
      </c>
      <c r="J43" s="3">
        <v>0</v>
      </c>
      <c r="K43" s="13" t="s">
        <v>261</v>
      </c>
      <c r="L43" s="3">
        <v>1</v>
      </c>
      <c r="M43" s="13" t="s">
        <v>261</v>
      </c>
      <c r="N43" s="3">
        <v>1</v>
      </c>
      <c r="O43" s="7" t="s">
        <v>261</v>
      </c>
      <c r="P43" s="7" t="s">
        <v>260</v>
      </c>
      <c r="Q43" s="7" t="s">
        <v>261</v>
      </c>
      <c r="R43" s="7" t="s">
        <v>30</v>
      </c>
      <c r="S43" s="13" t="s">
        <v>261</v>
      </c>
      <c r="T43" s="3">
        <v>-1</v>
      </c>
      <c r="U43" s="3">
        <v>-1</v>
      </c>
      <c r="V43" s="3">
        <v>-1</v>
      </c>
      <c r="W43" s="3">
        <v>1</v>
      </c>
      <c r="X43" s="3">
        <v>-1</v>
      </c>
      <c r="AA43" s="13" t="s">
        <v>261</v>
      </c>
      <c r="AB43" s="3"/>
      <c r="AD43" s="14">
        <v>2048</v>
      </c>
      <c r="AH43" s="7"/>
      <c r="AI43" s="7"/>
      <c r="AJ43" s="7"/>
      <c r="AM43" s="7"/>
    </row>
    <row r="44" spans="1:39">
      <c r="A44" s="13" t="s">
        <v>232</v>
      </c>
      <c r="B44" s="13" t="s">
        <v>295</v>
      </c>
      <c r="E44" s="13" t="s">
        <v>232</v>
      </c>
      <c r="F44" s="3">
        <v>0</v>
      </c>
      <c r="G44" s="13" t="s">
        <v>268</v>
      </c>
      <c r="H44" s="3">
        <v>1</v>
      </c>
      <c r="I44" s="13" t="s">
        <v>268</v>
      </c>
      <c r="J44" s="3">
        <v>1</v>
      </c>
      <c r="K44" s="13" t="s">
        <v>268</v>
      </c>
      <c r="L44" s="3">
        <v>1</v>
      </c>
      <c r="M44" s="13" t="s">
        <v>268</v>
      </c>
      <c r="N44" s="3">
        <v>1</v>
      </c>
      <c r="O44" s="7" t="s">
        <v>268</v>
      </c>
      <c r="P44" s="7" t="s">
        <v>269</v>
      </c>
      <c r="Q44" s="7" t="s">
        <v>268</v>
      </c>
      <c r="R44" s="7" t="s">
        <v>30</v>
      </c>
      <c r="S44" s="13" t="s">
        <v>268</v>
      </c>
      <c r="T44" s="3">
        <v>-1</v>
      </c>
      <c r="U44" s="3">
        <v>-1</v>
      </c>
      <c r="V44" s="3">
        <v>-1</v>
      </c>
      <c r="W44" s="3">
        <v>1</v>
      </c>
      <c r="X44" s="3">
        <v>-1</v>
      </c>
      <c r="AA44" s="13" t="s">
        <v>268</v>
      </c>
      <c r="AB44" s="3"/>
      <c r="AD44" s="14">
        <v>2049</v>
      </c>
      <c r="AH44" s="7"/>
      <c r="AI44" s="7"/>
      <c r="AJ44" s="7"/>
      <c r="AM44" s="7"/>
    </row>
    <row r="45" spans="1:39">
      <c r="A45" s="13" t="s">
        <v>272</v>
      </c>
      <c r="B45" s="13" t="s">
        <v>296</v>
      </c>
      <c r="E45" s="13" t="s">
        <v>234</v>
      </c>
      <c r="F45" s="3">
        <v>0</v>
      </c>
      <c r="G45" s="13" t="s">
        <v>271</v>
      </c>
      <c r="H45" s="3">
        <v>1</v>
      </c>
      <c r="I45" s="13" t="s">
        <v>271</v>
      </c>
      <c r="J45" s="3">
        <v>1</v>
      </c>
      <c r="K45" s="13" t="s">
        <v>271</v>
      </c>
      <c r="L45" s="3">
        <v>1</v>
      </c>
      <c r="M45" s="13" t="s">
        <v>271</v>
      </c>
      <c r="N45" s="3">
        <v>1</v>
      </c>
      <c r="O45" s="7" t="s">
        <v>271</v>
      </c>
      <c r="P45" s="7" t="s">
        <v>270</v>
      </c>
      <c r="Q45" s="7" t="s">
        <v>271</v>
      </c>
      <c r="R45" s="7" t="s">
        <v>30</v>
      </c>
      <c r="S45" s="13" t="s">
        <v>271</v>
      </c>
      <c r="T45" s="3">
        <v>-1</v>
      </c>
      <c r="U45" s="3">
        <v>-1</v>
      </c>
      <c r="V45" s="3">
        <v>-1</v>
      </c>
      <c r="W45" s="3">
        <v>1</v>
      </c>
      <c r="X45" s="3">
        <v>-1</v>
      </c>
      <c r="AA45" s="13" t="s">
        <v>271</v>
      </c>
      <c r="AB45" s="3"/>
      <c r="AD45" s="14">
        <v>2050</v>
      </c>
      <c r="AH45" s="7"/>
      <c r="AI45" s="7"/>
      <c r="AJ45" s="7"/>
      <c r="AM45" s="7"/>
    </row>
    <row r="46" spans="1:39">
      <c r="A46" s="13" t="s">
        <v>273</v>
      </c>
      <c r="B46" s="13" t="s">
        <v>297</v>
      </c>
      <c r="E46" s="13" t="s">
        <v>242</v>
      </c>
      <c r="F46" s="3">
        <v>0</v>
      </c>
      <c r="G46" s="13" t="s">
        <v>272</v>
      </c>
      <c r="H46" s="3">
        <v>1</v>
      </c>
      <c r="I46" s="13" t="s">
        <v>272</v>
      </c>
      <c r="J46" s="3">
        <v>1</v>
      </c>
      <c r="K46" s="13" t="s">
        <v>272</v>
      </c>
      <c r="L46" s="3">
        <v>1</v>
      </c>
      <c r="M46" s="13" t="s">
        <v>272</v>
      </c>
      <c r="N46" s="3">
        <v>1</v>
      </c>
      <c r="O46" s="7" t="s">
        <v>272</v>
      </c>
      <c r="P46" s="7" t="s">
        <v>270</v>
      </c>
      <c r="Q46" s="7" t="s">
        <v>272</v>
      </c>
      <c r="R46" s="7" t="s">
        <v>31</v>
      </c>
      <c r="S46" s="13" t="s">
        <v>272</v>
      </c>
      <c r="T46" s="3">
        <v>-1</v>
      </c>
      <c r="U46" s="3">
        <v>-1</v>
      </c>
      <c r="V46" s="3">
        <v>-1</v>
      </c>
      <c r="W46" s="3">
        <v>1</v>
      </c>
      <c r="X46" s="3">
        <v>-1</v>
      </c>
      <c r="AA46" s="13" t="s">
        <v>272</v>
      </c>
      <c r="AB46" s="3"/>
      <c r="AH46" s="7"/>
      <c r="AI46" s="7"/>
      <c r="AJ46" s="7"/>
    </row>
    <row r="47" spans="1:39">
      <c r="A47" s="13" t="s">
        <v>274</v>
      </c>
      <c r="B47" s="13" t="s">
        <v>298</v>
      </c>
      <c r="E47" s="13" t="s">
        <v>243</v>
      </c>
      <c r="F47" s="3">
        <v>0</v>
      </c>
      <c r="G47" s="13" t="s">
        <v>273</v>
      </c>
      <c r="H47" s="3">
        <v>0</v>
      </c>
      <c r="I47" s="13" t="s">
        <v>273</v>
      </c>
      <c r="J47" s="3">
        <v>0</v>
      </c>
      <c r="K47" s="13" t="s">
        <v>273</v>
      </c>
      <c r="L47" s="3">
        <v>1</v>
      </c>
      <c r="M47" s="13" t="s">
        <v>273</v>
      </c>
      <c r="N47" s="3">
        <v>1</v>
      </c>
      <c r="O47" s="7" t="s">
        <v>273</v>
      </c>
      <c r="P47" s="7" t="s">
        <v>273</v>
      </c>
      <c r="Q47" s="7" t="s">
        <v>273</v>
      </c>
      <c r="R47" s="7" t="s">
        <v>30</v>
      </c>
      <c r="S47" s="13" t="s">
        <v>273</v>
      </c>
      <c r="T47" s="3">
        <v>-1</v>
      </c>
      <c r="U47" s="3">
        <v>-1</v>
      </c>
      <c r="V47" s="3">
        <v>-1</v>
      </c>
      <c r="W47" s="3">
        <v>1</v>
      </c>
      <c r="X47" s="3">
        <v>1</v>
      </c>
      <c r="AA47" s="13" t="s">
        <v>273</v>
      </c>
      <c r="AB47" s="3"/>
      <c r="AH47" s="7"/>
      <c r="AI47" s="7"/>
      <c r="AJ47" s="7"/>
    </row>
    <row r="48" spans="1:39">
      <c r="A48" s="13" t="s">
        <v>275</v>
      </c>
      <c r="B48" s="13" t="s">
        <v>299</v>
      </c>
      <c r="E48" s="13" t="s">
        <v>253</v>
      </c>
      <c r="F48" s="3">
        <v>0</v>
      </c>
      <c r="G48" s="13" t="s">
        <v>274</v>
      </c>
      <c r="H48" s="3">
        <v>0</v>
      </c>
      <c r="I48" s="13" t="s">
        <v>274</v>
      </c>
      <c r="J48" s="3">
        <v>0</v>
      </c>
      <c r="K48" s="13" t="s">
        <v>274</v>
      </c>
      <c r="L48" s="3">
        <v>1</v>
      </c>
      <c r="M48" s="13" t="s">
        <v>274</v>
      </c>
      <c r="N48" s="3">
        <v>1</v>
      </c>
      <c r="O48" s="7" t="s">
        <v>274</v>
      </c>
      <c r="P48" s="7" t="s">
        <v>274</v>
      </c>
      <c r="Q48" s="7" t="s">
        <v>274</v>
      </c>
      <c r="R48" s="7" t="s">
        <v>30</v>
      </c>
      <c r="S48" s="13" t="s">
        <v>274</v>
      </c>
      <c r="T48" s="3">
        <v>-1</v>
      </c>
      <c r="U48" s="3">
        <v>-1</v>
      </c>
      <c r="V48" s="3">
        <v>-1</v>
      </c>
      <c r="W48" s="3">
        <v>1</v>
      </c>
      <c r="X48" s="3">
        <v>-1</v>
      </c>
      <c r="AA48" s="13" t="s">
        <v>274</v>
      </c>
      <c r="AB48" s="3"/>
      <c r="AH48" s="7"/>
      <c r="AI48" s="7"/>
      <c r="AJ48" s="7"/>
    </row>
    <row r="49" spans="1:36">
      <c r="A49" s="13" t="s">
        <v>276</v>
      </c>
      <c r="B49" s="13" t="s">
        <v>300</v>
      </c>
      <c r="E49" s="13" t="s">
        <v>244</v>
      </c>
      <c r="F49" s="3">
        <v>0</v>
      </c>
      <c r="G49" s="13" t="s">
        <v>275</v>
      </c>
      <c r="H49" s="3">
        <v>0</v>
      </c>
      <c r="I49" s="13" t="s">
        <v>275</v>
      </c>
      <c r="J49" s="3">
        <v>1</v>
      </c>
      <c r="K49" s="13" t="s">
        <v>275</v>
      </c>
      <c r="L49" s="3">
        <v>1</v>
      </c>
      <c r="M49" s="13" t="s">
        <v>275</v>
      </c>
      <c r="N49" s="3">
        <v>1</v>
      </c>
      <c r="O49" s="7" t="s">
        <v>275</v>
      </c>
      <c r="P49" s="7" t="s">
        <v>273</v>
      </c>
      <c r="Q49" s="7" t="s">
        <v>275</v>
      </c>
      <c r="R49" s="7" t="s">
        <v>30</v>
      </c>
      <c r="S49" s="13" t="s">
        <v>275</v>
      </c>
      <c r="T49" s="3">
        <v>-1</v>
      </c>
      <c r="U49" s="3">
        <v>-1</v>
      </c>
      <c r="V49" s="3">
        <v>-1</v>
      </c>
      <c r="W49" s="3">
        <v>1</v>
      </c>
      <c r="X49" s="3">
        <v>1</v>
      </c>
      <c r="AA49" s="13" t="s">
        <v>275</v>
      </c>
      <c r="AB49" s="3"/>
      <c r="AH49" s="7"/>
      <c r="AI49" s="7"/>
      <c r="AJ49" s="7"/>
    </row>
    <row r="50" spans="1:36">
      <c r="A50" s="13" t="s">
        <v>278</v>
      </c>
      <c r="B50" s="13" t="s">
        <v>330</v>
      </c>
      <c r="E50" s="13" t="s">
        <v>261</v>
      </c>
      <c r="F50" s="3">
        <v>0</v>
      </c>
      <c r="G50" s="13" t="s">
        <v>276</v>
      </c>
      <c r="H50" s="3">
        <v>0</v>
      </c>
      <c r="I50" s="13" t="s">
        <v>276</v>
      </c>
      <c r="J50" s="3">
        <v>0</v>
      </c>
      <c r="K50" s="13" t="s">
        <v>276</v>
      </c>
      <c r="L50" s="3">
        <v>1</v>
      </c>
      <c r="M50" s="13" t="s">
        <v>276</v>
      </c>
      <c r="N50" s="3">
        <v>1</v>
      </c>
      <c r="O50" s="7" t="s">
        <v>276</v>
      </c>
      <c r="P50" s="7" t="s">
        <v>277</v>
      </c>
      <c r="Q50" s="7" t="s">
        <v>276</v>
      </c>
      <c r="R50" s="7" t="s">
        <v>30</v>
      </c>
      <c r="S50" s="13" t="s">
        <v>276</v>
      </c>
      <c r="T50" s="3">
        <v>-1</v>
      </c>
      <c r="U50" s="3">
        <v>-1</v>
      </c>
      <c r="V50" s="3">
        <v>-1</v>
      </c>
      <c r="W50" s="3">
        <v>1</v>
      </c>
      <c r="X50" s="3">
        <v>-1</v>
      </c>
      <c r="AA50" s="13" t="s">
        <v>276</v>
      </c>
      <c r="AB50" s="3"/>
      <c r="AH50" s="7"/>
      <c r="AI50" s="7"/>
      <c r="AJ50" s="7"/>
    </row>
    <row r="51" spans="1:36">
      <c r="A51" s="13" t="s">
        <v>279</v>
      </c>
      <c r="B51" s="13" t="s">
        <v>332</v>
      </c>
      <c r="E51" s="13" t="s">
        <v>197</v>
      </c>
      <c r="F51" s="3">
        <v>0</v>
      </c>
      <c r="G51" s="13" t="s">
        <v>278</v>
      </c>
      <c r="H51" s="3">
        <v>1</v>
      </c>
      <c r="I51" s="13" t="s">
        <v>278</v>
      </c>
      <c r="J51" s="3">
        <v>1</v>
      </c>
      <c r="K51" s="13" t="s">
        <v>278</v>
      </c>
      <c r="L51" s="3">
        <v>1</v>
      </c>
      <c r="M51" s="13" t="s">
        <v>278</v>
      </c>
      <c r="N51" s="3">
        <v>1</v>
      </c>
      <c r="O51" s="7" t="s">
        <v>278</v>
      </c>
      <c r="P51" s="7" t="s">
        <v>280</v>
      </c>
      <c r="Q51" s="7" t="s">
        <v>278</v>
      </c>
      <c r="R51" s="7" t="s">
        <v>30</v>
      </c>
      <c r="S51" s="13" t="s">
        <v>278</v>
      </c>
      <c r="T51" s="3">
        <v>-1</v>
      </c>
      <c r="U51" s="3">
        <v>-1</v>
      </c>
      <c r="V51" s="3">
        <v>-1</v>
      </c>
      <c r="W51" s="3">
        <v>1</v>
      </c>
      <c r="X51" s="3">
        <v>-1</v>
      </c>
      <c r="AA51" s="13" t="s">
        <v>278</v>
      </c>
      <c r="AB51" s="3"/>
      <c r="AH51" s="7"/>
      <c r="AI51" s="7"/>
      <c r="AJ51" s="7"/>
    </row>
    <row r="52" spans="1:36">
      <c r="A52" s="13" t="s">
        <v>282</v>
      </c>
      <c r="B52" s="13" t="s">
        <v>340</v>
      </c>
      <c r="E52" s="13" t="s">
        <v>274</v>
      </c>
      <c r="F52" s="3">
        <v>0</v>
      </c>
      <c r="G52" s="13" t="s">
        <v>279</v>
      </c>
      <c r="H52" s="3">
        <v>1</v>
      </c>
      <c r="I52" s="13" t="s">
        <v>279</v>
      </c>
      <c r="J52" s="3">
        <v>1</v>
      </c>
      <c r="K52" s="13" t="s">
        <v>279</v>
      </c>
      <c r="L52" s="3">
        <v>1</v>
      </c>
      <c r="M52" s="13" t="s">
        <v>279</v>
      </c>
      <c r="N52" s="3">
        <v>1</v>
      </c>
      <c r="O52" s="7" t="s">
        <v>279</v>
      </c>
      <c r="P52" s="7" t="s">
        <v>281</v>
      </c>
      <c r="Q52" s="7" t="s">
        <v>279</v>
      </c>
      <c r="R52" s="7" t="s">
        <v>30</v>
      </c>
      <c r="S52" s="13" t="s">
        <v>279</v>
      </c>
      <c r="T52" s="3">
        <v>-1</v>
      </c>
      <c r="U52" s="3">
        <v>-1</v>
      </c>
      <c r="V52" s="3">
        <v>-1</v>
      </c>
      <c r="W52" s="3">
        <v>1</v>
      </c>
      <c r="X52" s="3">
        <v>-1</v>
      </c>
      <c r="AA52" s="13" t="s">
        <v>279</v>
      </c>
      <c r="AB52" s="3"/>
    </row>
    <row r="53" spans="1:36">
      <c r="A53" s="13" t="s">
        <v>283</v>
      </c>
      <c r="B53" s="13" t="s">
        <v>358</v>
      </c>
      <c r="E53" s="13" t="s">
        <v>273</v>
      </c>
      <c r="F53" s="3">
        <v>0</v>
      </c>
      <c r="G53" s="13" t="s">
        <v>282</v>
      </c>
      <c r="H53" s="3">
        <v>1</v>
      </c>
      <c r="I53" s="13" t="s">
        <v>282</v>
      </c>
      <c r="J53" s="3">
        <v>1</v>
      </c>
      <c r="K53" s="13" t="s">
        <v>282</v>
      </c>
      <c r="L53" s="3">
        <v>1</v>
      </c>
      <c r="M53" s="13" t="s">
        <v>282</v>
      </c>
      <c r="N53" s="3">
        <v>1</v>
      </c>
      <c r="O53" s="7" t="s">
        <v>282</v>
      </c>
      <c r="P53" s="7" t="s">
        <v>282</v>
      </c>
      <c r="Q53" s="7" t="s">
        <v>282</v>
      </c>
      <c r="R53" s="7" t="s">
        <v>30</v>
      </c>
      <c r="S53" s="13" t="s">
        <v>282</v>
      </c>
      <c r="T53" s="3">
        <v>-1</v>
      </c>
      <c r="U53" s="3">
        <v>-1</v>
      </c>
      <c r="V53" s="3">
        <v>-1</v>
      </c>
      <c r="W53" s="3">
        <v>1</v>
      </c>
      <c r="X53" s="3">
        <v>-1</v>
      </c>
      <c r="AA53" s="13" t="s">
        <v>282</v>
      </c>
      <c r="AB53" s="3"/>
    </row>
    <row r="54" spans="1:36">
      <c r="A54" s="13" t="s">
        <v>284</v>
      </c>
      <c r="B54" s="13" t="s">
        <v>361</v>
      </c>
      <c r="E54" s="13" t="s">
        <v>275</v>
      </c>
      <c r="F54" s="3">
        <v>0</v>
      </c>
      <c r="G54" s="13" t="s">
        <v>283</v>
      </c>
      <c r="H54" s="3">
        <v>1</v>
      </c>
      <c r="I54" s="13" t="s">
        <v>283</v>
      </c>
      <c r="J54" s="3">
        <v>1</v>
      </c>
      <c r="K54" s="13" t="s">
        <v>283</v>
      </c>
      <c r="L54" s="3">
        <v>1</v>
      </c>
      <c r="M54" s="13" t="s">
        <v>283</v>
      </c>
      <c r="N54" s="3">
        <v>1</v>
      </c>
      <c r="O54" s="7" t="s">
        <v>283</v>
      </c>
      <c r="P54" s="7" t="s">
        <v>283</v>
      </c>
      <c r="Q54" s="7" t="s">
        <v>283</v>
      </c>
      <c r="R54" s="7" t="s">
        <v>30</v>
      </c>
      <c r="S54" s="13" t="s">
        <v>283</v>
      </c>
      <c r="T54" s="3">
        <v>-1</v>
      </c>
      <c r="U54" s="3">
        <v>-1</v>
      </c>
      <c r="V54" s="3">
        <v>-1</v>
      </c>
      <c r="W54" s="3">
        <v>1</v>
      </c>
      <c r="X54" s="3">
        <v>-1</v>
      </c>
      <c r="AA54" s="13" t="s">
        <v>283</v>
      </c>
      <c r="AB54" s="3"/>
    </row>
    <row r="55" spans="1:36">
      <c r="A55" s="13" t="s">
        <v>285</v>
      </c>
      <c r="B55" s="13" t="s">
        <v>363</v>
      </c>
      <c r="E55" s="13" t="s">
        <v>278</v>
      </c>
      <c r="F55" s="3">
        <v>0</v>
      </c>
      <c r="G55" s="13" t="s">
        <v>284</v>
      </c>
      <c r="H55" s="3">
        <v>1</v>
      </c>
      <c r="I55" s="13" t="s">
        <v>284</v>
      </c>
      <c r="J55" s="3">
        <v>1</v>
      </c>
      <c r="K55" s="13" t="s">
        <v>284</v>
      </c>
      <c r="L55" s="3">
        <v>1</v>
      </c>
      <c r="M55" s="13" t="s">
        <v>284</v>
      </c>
      <c r="N55" s="3">
        <v>1</v>
      </c>
      <c r="O55" s="7" t="s">
        <v>284</v>
      </c>
      <c r="P55" s="7" t="s">
        <v>284</v>
      </c>
      <c r="Q55" s="7" t="s">
        <v>284</v>
      </c>
      <c r="R55" s="7" t="s">
        <v>30</v>
      </c>
      <c r="S55" s="13" t="s">
        <v>284</v>
      </c>
      <c r="T55" s="3">
        <v>-1</v>
      </c>
      <c r="U55" s="3">
        <v>-1</v>
      </c>
      <c r="V55" s="3">
        <v>-1</v>
      </c>
      <c r="W55" s="3">
        <v>1</v>
      </c>
      <c r="X55" s="3">
        <v>-1</v>
      </c>
      <c r="AA55" s="13" t="s">
        <v>284</v>
      </c>
      <c r="AB55" s="3"/>
    </row>
    <row r="56" spans="1:36">
      <c r="A56" s="13" t="s">
        <v>286</v>
      </c>
      <c r="B56" s="13" t="s">
        <v>378</v>
      </c>
      <c r="E56" s="13" t="s">
        <v>279</v>
      </c>
      <c r="F56" s="3">
        <v>0</v>
      </c>
      <c r="G56" s="13" t="s">
        <v>285</v>
      </c>
      <c r="H56" s="3">
        <v>1</v>
      </c>
      <c r="I56" s="13" t="s">
        <v>285</v>
      </c>
      <c r="J56" s="3">
        <v>1</v>
      </c>
      <c r="K56" s="13" t="s">
        <v>285</v>
      </c>
      <c r="L56" s="3">
        <v>1</v>
      </c>
      <c r="M56" s="13" t="s">
        <v>285</v>
      </c>
      <c r="N56" s="3">
        <v>1</v>
      </c>
      <c r="O56" s="7" t="s">
        <v>285</v>
      </c>
      <c r="P56" s="7" t="s">
        <v>273</v>
      </c>
      <c r="Q56" s="7" t="s">
        <v>285</v>
      </c>
      <c r="R56" s="7" t="s">
        <v>30</v>
      </c>
      <c r="S56" s="13" t="s">
        <v>285</v>
      </c>
      <c r="T56" s="3">
        <v>-1</v>
      </c>
      <c r="U56" s="3">
        <v>-1</v>
      </c>
      <c r="V56" s="3">
        <v>-1</v>
      </c>
      <c r="W56" s="3">
        <v>1</v>
      </c>
      <c r="X56" s="3">
        <v>-1</v>
      </c>
      <c r="AA56" s="13" t="s">
        <v>285</v>
      </c>
      <c r="AB56" s="3"/>
    </row>
    <row r="57" spans="1:36">
      <c r="A57" s="13" t="s">
        <v>287</v>
      </c>
      <c r="B57" s="13" t="s">
        <v>383</v>
      </c>
      <c r="E57" s="13" t="s">
        <v>276</v>
      </c>
      <c r="F57" s="3">
        <v>0</v>
      </c>
      <c r="G57" s="13" t="s">
        <v>286</v>
      </c>
      <c r="H57" s="3">
        <v>1</v>
      </c>
      <c r="I57" s="13" t="s">
        <v>286</v>
      </c>
      <c r="J57" s="3">
        <v>1</v>
      </c>
      <c r="K57" s="13" t="s">
        <v>286</v>
      </c>
      <c r="L57" s="3">
        <v>1</v>
      </c>
      <c r="M57" s="13" t="s">
        <v>286</v>
      </c>
      <c r="N57" s="3">
        <v>1</v>
      </c>
      <c r="O57" s="7" t="s">
        <v>286</v>
      </c>
      <c r="P57" s="7" t="s">
        <v>288</v>
      </c>
      <c r="Q57" s="7" t="s">
        <v>286</v>
      </c>
      <c r="R57" s="7" t="s">
        <v>30</v>
      </c>
      <c r="S57" s="13" t="s">
        <v>286</v>
      </c>
      <c r="T57" s="3">
        <v>-1</v>
      </c>
      <c r="U57" s="3">
        <v>-1</v>
      </c>
      <c r="V57" s="3">
        <v>-1</v>
      </c>
      <c r="W57" s="3">
        <v>1</v>
      </c>
      <c r="X57" s="3">
        <v>-1</v>
      </c>
      <c r="AA57" s="13" t="s">
        <v>286</v>
      </c>
      <c r="AB57" s="3"/>
    </row>
    <row r="58" spans="1:36">
      <c r="A58" s="13" t="s">
        <v>292</v>
      </c>
      <c r="B58" s="13" t="s">
        <v>390</v>
      </c>
      <c r="E58" s="13" t="s">
        <v>285</v>
      </c>
      <c r="F58" s="3">
        <v>0</v>
      </c>
      <c r="G58" s="13" t="s">
        <v>287</v>
      </c>
      <c r="H58" s="3">
        <v>1</v>
      </c>
      <c r="I58" s="13" t="s">
        <v>287</v>
      </c>
      <c r="J58" s="3">
        <v>1</v>
      </c>
      <c r="K58" s="13" t="s">
        <v>287</v>
      </c>
      <c r="L58" s="3">
        <v>1</v>
      </c>
      <c r="M58" s="13" t="s">
        <v>287</v>
      </c>
      <c r="N58" s="3">
        <v>1</v>
      </c>
      <c r="O58" s="7" t="s">
        <v>287</v>
      </c>
      <c r="P58" s="7" t="s">
        <v>289</v>
      </c>
      <c r="Q58" s="7" t="s">
        <v>287</v>
      </c>
      <c r="R58" s="7" t="s">
        <v>30</v>
      </c>
      <c r="S58" s="13" t="s">
        <v>287</v>
      </c>
      <c r="T58" s="3">
        <v>-1</v>
      </c>
      <c r="U58" s="3">
        <v>-1</v>
      </c>
      <c r="V58" s="3">
        <v>-1</v>
      </c>
      <c r="W58" s="3">
        <v>1</v>
      </c>
      <c r="X58" s="3">
        <v>-1</v>
      </c>
      <c r="AA58" s="13" t="s">
        <v>287</v>
      </c>
      <c r="AB58" s="3"/>
    </row>
    <row r="59" spans="1:36">
      <c r="A59" s="13" t="s">
        <v>293</v>
      </c>
      <c r="B59" s="13" t="s">
        <v>393</v>
      </c>
      <c r="E59" s="13" t="s">
        <v>292</v>
      </c>
      <c r="F59" s="3">
        <v>0</v>
      </c>
      <c r="G59" s="13" t="s">
        <v>292</v>
      </c>
      <c r="H59" s="3">
        <v>1</v>
      </c>
      <c r="I59" s="13" t="s">
        <v>292</v>
      </c>
      <c r="J59" s="3">
        <v>1</v>
      </c>
      <c r="K59" s="13" t="s">
        <v>292</v>
      </c>
      <c r="L59" s="3">
        <v>1</v>
      </c>
      <c r="M59" s="13" t="s">
        <v>292</v>
      </c>
      <c r="N59" s="3">
        <v>1</v>
      </c>
      <c r="O59" s="7" t="s">
        <v>292</v>
      </c>
      <c r="P59" s="7" t="s">
        <v>290</v>
      </c>
      <c r="Q59" s="7" t="s">
        <v>292</v>
      </c>
      <c r="R59" s="7" t="s">
        <v>30</v>
      </c>
      <c r="S59" s="13" t="s">
        <v>292</v>
      </c>
      <c r="T59" s="3">
        <v>-1</v>
      </c>
      <c r="U59" s="3">
        <v>-1</v>
      </c>
      <c r="V59" s="3">
        <v>-1</v>
      </c>
      <c r="W59" s="3">
        <v>1</v>
      </c>
      <c r="X59" s="3">
        <v>-1</v>
      </c>
      <c r="AA59" s="13" t="s">
        <v>292</v>
      </c>
      <c r="AB59" s="3"/>
    </row>
    <row r="60" spans="1:36">
      <c r="A60" s="13" t="s">
        <v>294</v>
      </c>
      <c r="B60" s="13" t="s">
        <v>394</v>
      </c>
      <c r="E60" s="13" t="s">
        <v>293</v>
      </c>
      <c r="F60" s="3">
        <v>0</v>
      </c>
      <c r="G60" s="13" t="s">
        <v>293</v>
      </c>
      <c r="H60" s="3">
        <v>1</v>
      </c>
      <c r="I60" s="13" t="s">
        <v>293</v>
      </c>
      <c r="J60" s="3">
        <v>1</v>
      </c>
      <c r="K60" s="13" t="s">
        <v>293</v>
      </c>
      <c r="L60" s="3">
        <v>1</v>
      </c>
      <c r="M60" s="13" t="s">
        <v>293</v>
      </c>
      <c r="N60" s="3">
        <v>1</v>
      </c>
      <c r="O60" s="7" t="s">
        <v>293</v>
      </c>
      <c r="P60" s="7" t="s">
        <v>291</v>
      </c>
      <c r="Q60" s="7" t="s">
        <v>293</v>
      </c>
      <c r="R60" s="7" t="s">
        <v>30</v>
      </c>
      <c r="S60" s="13" t="s">
        <v>293</v>
      </c>
      <c r="T60" s="3">
        <v>-1</v>
      </c>
      <c r="U60" s="3">
        <v>-1</v>
      </c>
      <c r="V60" s="3">
        <v>-1</v>
      </c>
      <c r="W60" s="3">
        <v>1</v>
      </c>
      <c r="X60" s="3">
        <v>-1</v>
      </c>
      <c r="AA60" s="13" t="s">
        <v>293</v>
      </c>
      <c r="AB60" s="3"/>
    </row>
    <row r="61" spans="1:36">
      <c r="A61" s="13" t="s">
        <v>296</v>
      </c>
      <c r="B61" s="13" t="s">
        <v>397</v>
      </c>
      <c r="E61" s="13" t="s">
        <v>294</v>
      </c>
      <c r="F61" s="3">
        <v>0</v>
      </c>
      <c r="G61" s="13" t="s">
        <v>294</v>
      </c>
      <c r="H61" s="3">
        <v>1</v>
      </c>
      <c r="I61" s="13" t="s">
        <v>294</v>
      </c>
      <c r="J61" s="3">
        <v>1</v>
      </c>
      <c r="K61" s="13" t="s">
        <v>294</v>
      </c>
      <c r="L61" s="3">
        <v>1</v>
      </c>
      <c r="M61" s="13" t="s">
        <v>294</v>
      </c>
      <c r="N61" s="3">
        <v>1</v>
      </c>
      <c r="O61" s="7" t="s">
        <v>294</v>
      </c>
      <c r="P61" s="7" t="s">
        <v>295</v>
      </c>
      <c r="Q61" s="7" t="s">
        <v>294</v>
      </c>
      <c r="R61" s="7" t="s">
        <v>30</v>
      </c>
      <c r="S61" s="13" t="s">
        <v>294</v>
      </c>
      <c r="T61" s="3">
        <v>-1</v>
      </c>
      <c r="U61" s="3">
        <v>-1</v>
      </c>
      <c r="V61" s="3">
        <v>-1</v>
      </c>
      <c r="W61" s="3">
        <v>1</v>
      </c>
      <c r="X61" s="3">
        <v>-1</v>
      </c>
      <c r="AA61" s="13" t="s">
        <v>294</v>
      </c>
      <c r="AB61" s="3"/>
    </row>
    <row r="62" spans="1:36">
      <c r="A62" s="13" t="s">
        <v>297</v>
      </c>
      <c r="B62" s="13" t="s">
        <v>399</v>
      </c>
      <c r="E62" s="13" t="s">
        <v>286</v>
      </c>
      <c r="F62" s="3">
        <v>0</v>
      </c>
      <c r="G62" s="13" t="s">
        <v>296</v>
      </c>
      <c r="H62" s="3">
        <v>1</v>
      </c>
      <c r="I62" s="13" t="s">
        <v>296</v>
      </c>
      <c r="J62" s="3">
        <v>1</v>
      </c>
      <c r="K62" s="13" t="s">
        <v>296</v>
      </c>
      <c r="L62" s="3">
        <v>1</v>
      </c>
      <c r="M62" s="13" t="s">
        <v>296</v>
      </c>
      <c r="N62" s="3">
        <v>1</v>
      </c>
      <c r="O62" s="7" t="s">
        <v>296</v>
      </c>
      <c r="P62" s="7" t="s">
        <v>296</v>
      </c>
      <c r="Q62" s="7" t="s">
        <v>296</v>
      </c>
      <c r="R62" s="7" t="s">
        <v>30</v>
      </c>
      <c r="S62" s="13" t="s">
        <v>296</v>
      </c>
      <c r="T62" s="3">
        <v>-1</v>
      </c>
      <c r="U62" s="3">
        <v>-1</v>
      </c>
      <c r="V62" s="3">
        <v>-1</v>
      </c>
      <c r="W62" s="3">
        <v>1</v>
      </c>
      <c r="X62" s="3">
        <v>-1</v>
      </c>
      <c r="AA62" s="13" t="s">
        <v>296</v>
      </c>
      <c r="AB62" s="3"/>
    </row>
    <row r="63" spans="1:36">
      <c r="A63" s="13" t="s">
        <v>298</v>
      </c>
      <c r="B63" s="13" t="s">
        <v>401</v>
      </c>
      <c r="E63" s="13" t="s">
        <v>287</v>
      </c>
      <c r="F63" s="3">
        <v>0</v>
      </c>
      <c r="G63" s="13" t="s">
        <v>297</v>
      </c>
      <c r="H63" s="3">
        <v>1</v>
      </c>
      <c r="I63" s="13" t="s">
        <v>297</v>
      </c>
      <c r="J63" s="3">
        <v>1</v>
      </c>
      <c r="K63" s="13" t="s">
        <v>297</v>
      </c>
      <c r="L63" s="3">
        <v>1</v>
      </c>
      <c r="M63" s="13" t="s">
        <v>297</v>
      </c>
      <c r="N63" s="3">
        <v>1</v>
      </c>
      <c r="O63" s="7" t="s">
        <v>297</v>
      </c>
      <c r="P63" s="7" t="s">
        <v>297</v>
      </c>
      <c r="Q63" s="7" t="s">
        <v>297</v>
      </c>
      <c r="R63" s="7" t="s">
        <v>30</v>
      </c>
      <c r="S63" s="13" t="s">
        <v>297</v>
      </c>
      <c r="T63" s="3">
        <v>-1</v>
      </c>
      <c r="U63" s="3">
        <v>-1</v>
      </c>
      <c r="V63" s="3">
        <v>-1</v>
      </c>
      <c r="W63" s="3">
        <v>1</v>
      </c>
      <c r="X63" s="3">
        <v>-1</v>
      </c>
      <c r="AA63" s="13" t="s">
        <v>297</v>
      </c>
      <c r="AB63" s="3"/>
    </row>
    <row r="64" spans="1:36">
      <c r="A64" s="13" t="s">
        <v>299</v>
      </c>
      <c r="B64" s="13" t="s">
        <v>405</v>
      </c>
      <c r="E64" s="13" t="s">
        <v>193</v>
      </c>
      <c r="F64" s="3">
        <v>0</v>
      </c>
      <c r="G64" s="13" t="s">
        <v>298</v>
      </c>
      <c r="H64" s="3">
        <v>1</v>
      </c>
      <c r="I64" s="13" t="s">
        <v>298</v>
      </c>
      <c r="J64" s="3">
        <v>1</v>
      </c>
      <c r="K64" s="13" t="s">
        <v>298</v>
      </c>
      <c r="L64" s="3">
        <v>1</v>
      </c>
      <c r="M64" s="13" t="s">
        <v>298</v>
      </c>
      <c r="N64" s="3">
        <v>1</v>
      </c>
      <c r="O64" s="7" t="s">
        <v>298</v>
      </c>
      <c r="P64" s="7" t="s">
        <v>298</v>
      </c>
      <c r="Q64" s="7" t="s">
        <v>298</v>
      </c>
      <c r="R64" s="7" t="s">
        <v>30</v>
      </c>
      <c r="S64" s="13" t="s">
        <v>298</v>
      </c>
      <c r="T64" s="3">
        <v>-1</v>
      </c>
      <c r="U64" s="3">
        <v>-1</v>
      </c>
      <c r="V64" s="3">
        <v>-1</v>
      </c>
      <c r="W64" s="3">
        <v>1</v>
      </c>
      <c r="X64" s="3">
        <v>-1</v>
      </c>
      <c r="AA64" s="13" t="s">
        <v>298</v>
      </c>
      <c r="AB64" s="3"/>
    </row>
    <row r="65" spans="1:28">
      <c r="A65" s="13" t="s">
        <v>300</v>
      </c>
      <c r="B65" s="13" t="s">
        <v>406</v>
      </c>
      <c r="E65" s="13" t="s">
        <v>301</v>
      </c>
      <c r="F65" s="3">
        <v>0</v>
      </c>
      <c r="G65" s="13" t="s">
        <v>299</v>
      </c>
      <c r="H65" s="3">
        <v>0</v>
      </c>
      <c r="I65" s="13" t="s">
        <v>299</v>
      </c>
      <c r="J65" s="3">
        <v>0</v>
      </c>
      <c r="K65" s="13" t="s">
        <v>299</v>
      </c>
      <c r="L65" s="3">
        <v>1</v>
      </c>
      <c r="M65" s="13" t="s">
        <v>299</v>
      </c>
      <c r="N65" s="3">
        <v>1</v>
      </c>
      <c r="O65" s="7" t="s">
        <v>299</v>
      </c>
      <c r="P65" s="7" t="s">
        <v>299</v>
      </c>
      <c r="Q65" s="7" t="s">
        <v>299</v>
      </c>
      <c r="R65" s="7" t="s">
        <v>30</v>
      </c>
      <c r="S65" s="13" t="s">
        <v>299</v>
      </c>
      <c r="T65" s="3">
        <v>-1</v>
      </c>
      <c r="U65" s="3">
        <v>-1</v>
      </c>
      <c r="V65" s="3">
        <v>-1</v>
      </c>
      <c r="W65" s="3">
        <v>1</v>
      </c>
      <c r="X65" s="3">
        <v>1</v>
      </c>
      <c r="AA65" s="13" t="s">
        <v>299</v>
      </c>
      <c r="AB65" s="3"/>
    </row>
    <row r="66" spans="1:28">
      <c r="A66" s="13" t="s">
        <v>301</v>
      </c>
      <c r="B66" s="13" t="s">
        <v>407</v>
      </c>
      <c r="E66" s="13" t="s">
        <v>302</v>
      </c>
      <c r="F66" s="3">
        <v>0</v>
      </c>
      <c r="G66" s="13" t="s">
        <v>300</v>
      </c>
      <c r="H66" s="3">
        <v>0</v>
      </c>
      <c r="I66" s="13" t="s">
        <v>300</v>
      </c>
      <c r="J66" s="3">
        <v>0</v>
      </c>
      <c r="K66" s="13" t="s">
        <v>300</v>
      </c>
      <c r="L66" s="3">
        <v>1</v>
      </c>
      <c r="M66" s="13" t="s">
        <v>300</v>
      </c>
      <c r="N66" s="3">
        <v>1</v>
      </c>
      <c r="O66" s="7" t="s">
        <v>300</v>
      </c>
      <c r="P66" s="7" t="s">
        <v>300</v>
      </c>
      <c r="Q66" s="7" t="s">
        <v>300</v>
      </c>
      <c r="R66" s="7" t="s">
        <v>30</v>
      </c>
      <c r="S66" s="13" t="s">
        <v>300</v>
      </c>
      <c r="T66" s="3">
        <v>-1</v>
      </c>
      <c r="U66" s="3">
        <v>-1</v>
      </c>
      <c r="V66" s="3">
        <v>-1</v>
      </c>
      <c r="W66" s="3">
        <v>1</v>
      </c>
      <c r="X66" s="3">
        <v>1</v>
      </c>
      <c r="AA66" s="13" t="s">
        <v>300</v>
      </c>
      <c r="AB66" s="3"/>
    </row>
    <row r="67" spans="1:28">
      <c r="A67" s="13" t="s">
        <v>302</v>
      </c>
      <c r="B67" s="13" t="s">
        <v>410</v>
      </c>
      <c r="E67" s="13" t="s">
        <v>303</v>
      </c>
      <c r="F67" s="3">
        <v>0</v>
      </c>
      <c r="G67" s="13" t="s">
        <v>301</v>
      </c>
      <c r="H67" s="3">
        <v>1</v>
      </c>
      <c r="I67" s="13" t="s">
        <v>301</v>
      </c>
      <c r="J67" s="3">
        <v>1</v>
      </c>
      <c r="K67" s="13" t="s">
        <v>301</v>
      </c>
      <c r="L67" s="3">
        <v>1</v>
      </c>
      <c r="M67" s="13" t="s">
        <v>301</v>
      </c>
      <c r="N67" s="3">
        <v>1</v>
      </c>
      <c r="O67" s="7" t="s">
        <v>301</v>
      </c>
      <c r="P67" s="7" t="s">
        <v>259</v>
      </c>
      <c r="Q67" s="7" t="s">
        <v>301</v>
      </c>
      <c r="R67" s="7" t="s">
        <v>30</v>
      </c>
      <c r="S67" s="13" t="s">
        <v>301</v>
      </c>
      <c r="T67" s="3">
        <v>2</v>
      </c>
      <c r="U67" s="3">
        <v>2</v>
      </c>
      <c r="V67" s="3">
        <v>1</v>
      </c>
      <c r="W67" s="3">
        <v>2</v>
      </c>
      <c r="X67" s="3">
        <v>1</v>
      </c>
      <c r="AA67" s="13" t="s">
        <v>301</v>
      </c>
      <c r="AB67" s="3">
        <v>5.75</v>
      </c>
    </row>
    <row r="68" spans="1:28">
      <c r="A68" s="13" t="s">
        <v>303</v>
      </c>
      <c r="B68" s="13" t="s">
        <v>419</v>
      </c>
      <c r="E68" s="13" t="s">
        <v>304</v>
      </c>
      <c r="F68" s="3">
        <v>0</v>
      </c>
      <c r="G68" s="13" t="s">
        <v>302</v>
      </c>
      <c r="H68" s="3">
        <v>1</v>
      </c>
      <c r="I68" s="13" t="s">
        <v>302</v>
      </c>
      <c r="J68" s="3">
        <v>1</v>
      </c>
      <c r="K68" s="13" t="s">
        <v>302</v>
      </c>
      <c r="L68" s="3">
        <v>1</v>
      </c>
      <c r="M68" s="13" t="s">
        <v>302</v>
      </c>
      <c r="N68" s="3">
        <v>1</v>
      </c>
      <c r="O68" s="7" t="s">
        <v>302</v>
      </c>
      <c r="P68" s="7" t="s">
        <v>259</v>
      </c>
      <c r="Q68" s="7" t="s">
        <v>302</v>
      </c>
      <c r="R68" s="7" t="s">
        <v>30</v>
      </c>
      <c r="S68" s="13" t="s">
        <v>302</v>
      </c>
      <c r="T68" s="3">
        <v>2</v>
      </c>
      <c r="U68" s="3">
        <v>2</v>
      </c>
      <c r="V68" s="3">
        <v>1</v>
      </c>
      <c r="W68" s="3">
        <v>2</v>
      </c>
      <c r="X68" s="3">
        <v>1</v>
      </c>
      <c r="AA68" s="13" t="s">
        <v>302</v>
      </c>
      <c r="AB68" s="3">
        <v>6</v>
      </c>
    </row>
    <row r="69" spans="1:28">
      <c r="A69" s="13" t="s">
        <v>304</v>
      </c>
      <c r="B69" s="13" t="s">
        <v>420</v>
      </c>
      <c r="E69" s="13" t="s">
        <v>305</v>
      </c>
      <c r="F69" s="3">
        <v>0</v>
      </c>
      <c r="G69" s="13" t="s">
        <v>303</v>
      </c>
      <c r="H69" s="3">
        <v>1</v>
      </c>
      <c r="I69" s="13" t="s">
        <v>303</v>
      </c>
      <c r="J69" s="3">
        <v>1</v>
      </c>
      <c r="K69" s="13" t="s">
        <v>303</v>
      </c>
      <c r="L69" s="3">
        <v>1</v>
      </c>
      <c r="M69" s="13" t="s">
        <v>303</v>
      </c>
      <c r="N69" s="3">
        <v>1</v>
      </c>
      <c r="O69" s="7" t="s">
        <v>303</v>
      </c>
      <c r="P69" s="7" t="s">
        <v>259</v>
      </c>
      <c r="Q69" s="7" t="s">
        <v>303</v>
      </c>
      <c r="R69" s="7" t="s">
        <v>30</v>
      </c>
      <c r="S69" s="13" t="s">
        <v>303</v>
      </c>
      <c r="T69" s="3">
        <v>2</v>
      </c>
      <c r="U69" s="3">
        <v>2</v>
      </c>
      <c r="V69" s="3">
        <v>1</v>
      </c>
      <c r="W69" s="3">
        <v>2</v>
      </c>
      <c r="X69" s="3">
        <v>1</v>
      </c>
      <c r="AA69" s="13" t="s">
        <v>303</v>
      </c>
      <c r="AB69" s="3">
        <v>6.25</v>
      </c>
    </row>
    <row r="70" spans="1:28">
      <c r="A70" s="13" t="s">
        <v>305</v>
      </c>
      <c r="B70" s="13" t="s">
        <v>421</v>
      </c>
      <c r="E70" s="13" t="s">
        <v>306</v>
      </c>
      <c r="F70" s="3">
        <v>0</v>
      </c>
      <c r="G70" s="13" t="s">
        <v>304</v>
      </c>
      <c r="H70" s="3">
        <v>1</v>
      </c>
      <c r="I70" s="13" t="s">
        <v>304</v>
      </c>
      <c r="J70" s="3">
        <v>1</v>
      </c>
      <c r="K70" s="13" t="s">
        <v>304</v>
      </c>
      <c r="L70" s="3">
        <v>1</v>
      </c>
      <c r="M70" s="13" t="s">
        <v>304</v>
      </c>
      <c r="N70" s="3">
        <v>1</v>
      </c>
      <c r="O70" s="7" t="s">
        <v>304</v>
      </c>
      <c r="P70" s="7" t="s">
        <v>259</v>
      </c>
      <c r="Q70" s="7" t="s">
        <v>304</v>
      </c>
      <c r="R70" s="7" t="s">
        <v>30</v>
      </c>
      <c r="S70" s="13" t="s">
        <v>304</v>
      </c>
      <c r="T70" s="3">
        <v>2</v>
      </c>
      <c r="U70" s="3">
        <v>2</v>
      </c>
      <c r="V70" s="3">
        <v>1</v>
      </c>
      <c r="W70" s="3">
        <v>2</v>
      </c>
      <c r="X70" s="3">
        <v>1</v>
      </c>
      <c r="AA70" s="13" t="s">
        <v>304</v>
      </c>
      <c r="AB70" s="3">
        <v>6.5</v>
      </c>
    </row>
    <row r="71" spans="1:28">
      <c r="A71" s="13" t="s">
        <v>306</v>
      </c>
      <c r="B71" s="13" t="s">
        <v>422</v>
      </c>
      <c r="E71" s="13" t="s">
        <v>307</v>
      </c>
      <c r="F71" s="3">
        <v>0</v>
      </c>
      <c r="G71" s="13" t="s">
        <v>305</v>
      </c>
      <c r="H71" s="3">
        <v>1</v>
      </c>
      <c r="I71" s="13" t="s">
        <v>305</v>
      </c>
      <c r="J71" s="3">
        <v>1</v>
      </c>
      <c r="K71" s="13" t="s">
        <v>305</v>
      </c>
      <c r="L71" s="3">
        <v>1</v>
      </c>
      <c r="M71" s="13" t="s">
        <v>305</v>
      </c>
      <c r="N71" s="3">
        <v>1</v>
      </c>
      <c r="O71" s="7" t="s">
        <v>305</v>
      </c>
      <c r="P71" s="7" t="s">
        <v>259</v>
      </c>
      <c r="Q71" s="7" t="s">
        <v>305</v>
      </c>
      <c r="R71" s="7" t="s">
        <v>30</v>
      </c>
      <c r="S71" s="13" t="s">
        <v>305</v>
      </c>
      <c r="T71" s="3">
        <v>2</v>
      </c>
      <c r="U71" s="3">
        <v>2</v>
      </c>
      <c r="V71" s="3">
        <v>1</v>
      </c>
      <c r="W71" s="3">
        <v>2</v>
      </c>
      <c r="X71" s="3">
        <v>1</v>
      </c>
      <c r="AA71" s="13" t="s">
        <v>305</v>
      </c>
      <c r="AB71" s="3">
        <v>6.75</v>
      </c>
    </row>
    <row r="72" spans="1:28">
      <c r="A72" s="13" t="s">
        <v>307</v>
      </c>
      <c r="E72" s="13" t="s">
        <v>308</v>
      </c>
      <c r="F72" s="3">
        <v>0</v>
      </c>
      <c r="G72" s="13" t="s">
        <v>306</v>
      </c>
      <c r="H72" s="3">
        <v>1</v>
      </c>
      <c r="I72" s="13" t="s">
        <v>306</v>
      </c>
      <c r="J72" s="3">
        <v>1</v>
      </c>
      <c r="K72" s="13" t="s">
        <v>306</v>
      </c>
      <c r="L72" s="3">
        <v>1</v>
      </c>
      <c r="M72" s="13" t="s">
        <v>306</v>
      </c>
      <c r="N72" s="3">
        <v>1</v>
      </c>
      <c r="O72" s="7" t="s">
        <v>306</v>
      </c>
      <c r="P72" s="7" t="s">
        <v>259</v>
      </c>
      <c r="Q72" s="7" t="s">
        <v>306</v>
      </c>
      <c r="R72" s="7" t="s">
        <v>30</v>
      </c>
      <c r="S72" s="13" t="s">
        <v>306</v>
      </c>
      <c r="T72" s="3">
        <v>2</v>
      </c>
      <c r="U72" s="3">
        <v>2</v>
      </c>
      <c r="V72" s="3">
        <v>1</v>
      </c>
      <c r="W72" s="3">
        <v>2</v>
      </c>
      <c r="X72" s="3">
        <v>1</v>
      </c>
      <c r="AA72" s="13" t="s">
        <v>306</v>
      </c>
      <c r="AB72" s="3">
        <v>7</v>
      </c>
    </row>
    <row r="73" spans="1:28">
      <c r="A73" s="13" t="s">
        <v>308</v>
      </c>
      <c r="E73" s="13" t="s">
        <v>309</v>
      </c>
      <c r="F73" s="3">
        <v>0</v>
      </c>
      <c r="G73" s="13" t="s">
        <v>307</v>
      </c>
      <c r="H73" s="3">
        <v>1</v>
      </c>
      <c r="I73" s="13" t="s">
        <v>307</v>
      </c>
      <c r="J73" s="3">
        <v>1</v>
      </c>
      <c r="K73" s="13" t="s">
        <v>307</v>
      </c>
      <c r="L73" s="3">
        <v>1</v>
      </c>
      <c r="M73" s="13" t="s">
        <v>307</v>
      </c>
      <c r="N73" s="3">
        <v>1</v>
      </c>
      <c r="O73" s="7" t="s">
        <v>307</v>
      </c>
      <c r="P73" s="7" t="s">
        <v>259</v>
      </c>
      <c r="Q73" s="7" t="s">
        <v>307</v>
      </c>
      <c r="R73" s="7" t="s">
        <v>30</v>
      </c>
      <c r="S73" s="13" t="s">
        <v>307</v>
      </c>
      <c r="T73" s="3">
        <v>2</v>
      </c>
      <c r="U73" s="3">
        <v>2</v>
      </c>
      <c r="V73" s="3">
        <v>1</v>
      </c>
      <c r="W73" s="3">
        <v>2</v>
      </c>
      <c r="X73" s="3">
        <v>1</v>
      </c>
      <c r="AA73" s="13" t="s">
        <v>307</v>
      </c>
      <c r="AB73" s="3">
        <v>7.5</v>
      </c>
    </row>
    <row r="74" spans="1:28">
      <c r="A74" s="13" t="s">
        <v>309</v>
      </c>
      <c r="E74" s="13" t="s">
        <v>310</v>
      </c>
      <c r="F74" s="3">
        <v>0</v>
      </c>
      <c r="G74" s="13" t="s">
        <v>308</v>
      </c>
      <c r="H74" s="3">
        <v>1</v>
      </c>
      <c r="I74" s="13" t="s">
        <v>308</v>
      </c>
      <c r="J74" s="3">
        <v>1</v>
      </c>
      <c r="K74" s="13" t="s">
        <v>308</v>
      </c>
      <c r="L74" s="3">
        <v>1</v>
      </c>
      <c r="M74" s="13" t="s">
        <v>308</v>
      </c>
      <c r="N74" s="3">
        <v>1</v>
      </c>
      <c r="O74" s="7" t="s">
        <v>308</v>
      </c>
      <c r="P74" s="7" t="s">
        <v>259</v>
      </c>
      <c r="Q74" s="7" t="s">
        <v>308</v>
      </c>
      <c r="R74" s="7" t="s">
        <v>30</v>
      </c>
      <c r="S74" s="13" t="s">
        <v>308</v>
      </c>
      <c r="T74" s="3">
        <v>2</v>
      </c>
      <c r="U74" s="3">
        <v>2</v>
      </c>
      <c r="V74" s="3">
        <v>1</v>
      </c>
      <c r="W74" s="3">
        <v>2</v>
      </c>
      <c r="X74" s="3">
        <v>1</v>
      </c>
      <c r="AA74" s="13" t="s">
        <v>308</v>
      </c>
      <c r="AB74" s="3">
        <v>8</v>
      </c>
    </row>
    <row r="75" spans="1:28">
      <c r="A75" s="13" t="s">
        <v>310</v>
      </c>
      <c r="E75" s="13" t="s">
        <v>311</v>
      </c>
      <c r="F75" s="3">
        <v>0</v>
      </c>
      <c r="G75" s="13" t="s">
        <v>309</v>
      </c>
      <c r="H75" s="3">
        <v>1</v>
      </c>
      <c r="I75" s="13" t="s">
        <v>309</v>
      </c>
      <c r="J75" s="3">
        <v>1</v>
      </c>
      <c r="K75" s="13" t="s">
        <v>309</v>
      </c>
      <c r="L75" s="3">
        <v>1</v>
      </c>
      <c r="M75" s="13" t="s">
        <v>309</v>
      </c>
      <c r="N75" s="3">
        <v>1</v>
      </c>
      <c r="O75" s="7" t="s">
        <v>309</v>
      </c>
      <c r="P75" s="7" t="s">
        <v>259</v>
      </c>
      <c r="Q75" s="7" t="s">
        <v>309</v>
      </c>
      <c r="R75" s="7" t="s">
        <v>30</v>
      </c>
      <c r="S75" s="13" t="s">
        <v>309</v>
      </c>
      <c r="T75" s="3">
        <v>2</v>
      </c>
      <c r="U75" s="3">
        <v>2</v>
      </c>
      <c r="V75" s="3">
        <v>1</v>
      </c>
      <c r="W75" s="3">
        <v>2</v>
      </c>
      <c r="X75" s="3">
        <v>1</v>
      </c>
      <c r="AA75" s="13" t="s">
        <v>309</v>
      </c>
      <c r="AB75" s="3">
        <v>9</v>
      </c>
    </row>
    <row r="76" spans="1:28">
      <c r="A76" s="13" t="s">
        <v>311</v>
      </c>
      <c r="E76" s="13" t="s">
        <v>312</v>
      </c>
      <c r="F76" s="3">
        <v>0</v>
      </c>
      <c r="G76" s="13" t="s">
        <v>310</v>
      </c>
      <c r="H76" s="3">
        <v>1</v>
      </c>
      <c r="I76" s="13" t="s">
        <v>310</v>
      </c>
      <c r="J76" s="3">
        <v>1</v>
      </c>
      <c r="K76" s="13" t="s">
        <v>310</v>
      </c>
      <c r="L76" s="3">
        <v>1</v>
      </c>
      <c r="M76" s="13" t="s">
        <v>310</v>
      </c>
      <c r="N76" s="3">
        <v>1</v>
      </c>
      <c r="O76" s="7" t="s">
        <v>310</v>
      </c>
      <c r="P76" s="7" t="s">
        <v>259</v>
      </c>
      <c r="Q76" s="7" t="s">
        <v>310</v>
      </c>
      <c r="R76" s="7" t="s">
        <v>30</v>
      </c>
      <c r="S76" s="13" t="s">
        <v>310</v>
      </c>
      <c r="T76" s="3">
        <v>2</v>
      </c>
      <c r="U76" s="3">
        <v>2</v>
      </c>
      <c r="V76" s="3">
        <v>1</v>
      </c>
      <c r="W76" s="3">
        <v>2</v>
      </c>
      <c r="X76" s="3">
        <v>1</v>
      </c>
      <c r="AA76" s="13" t="s">
        <v>310</v>
      </c>
      <c r="AB76" s="3">
        <v>10</v>
      </c>
    </row>
    <row r="77" spans="1:28">
      <c r="A77" s="13" t="s">
        <v>312</v>
      </c>
      <c r="E77" s="13" t="s">
        <v>313</v>
      </c>
      <c r="F77" s="3">
        <v>0</v>
      </c>
      <c r="G77" s="13" t="s">
        <v>311</v>
      </c>
      <c r="H77" s="3">
        <v>1</v>
      </c>
      <c r="I77" s="13" t="s">
        <v>311</v>
      </c>
      <c r="J77" s="3">
        <v>1</v>
      </c>
      <c r="K77" s="13" t="s">
        <v>311</v>
      </c>
      <c r="L77" s="3">
        <v>1</v>
      </c>
      <c r="M77" s="13" t="s">
        <v>311</v>
      </c>
      <c r="N77" s="3">
        <v>1</v>
      </c>
      <c r="O77" s="7" t="s">
        <v>311</v>
      </c>
      <c r="P77" s="7" t="s">
        <v>237</v>
      </c>
      <c r="Q77" s="7" t="s">
        <v>311</v>
      </c>
      <c r="R77" s="7" t="s">
        <v>30</v>
      </c>
      <c r="S77" s="13" t="s">
        <v>311</v>
      </c>
      <c r="T77" s="3">
        <v>-1</v>
      </c>
      <c r="U77" s="3">
        <v>-1</v>
      </c>
      <c r="V77" s="3">
        <v>-1</v>
      </c>
      <c r="W77" s="3">
        <v>1</v>
      </c>
      <c r="X77" s="3">
        <v>-1</v>
      </c>
      <c r="AA77" s="13" t="s">
        <v>311</v>
      </c>
      <c r="AB77" s="3">
        <v>10</v>
      </c>
    </row>
    <row r="78" spans="1:28">
      <c r="A78" s="13" t="s">
        <v>313</v>
      </c>
      <c r="E78" s="13" t="s">
        <v>314</v>
      </c>
      <c r="F78" s="3">
        <v>0</v>
      </c>
      <c r="G78" s="13" t="s">
        <v>312</v>
      </c>
      <c r="H78" s="3">
        <v>1</v>
      </c>
      <c r="I78" s="13" t="s">
        <v>312</v>
      </c>
      <c r="J78" s="3">
        <v>1</v>
      </c>
      <c r="K78" s="13" t="s">
        <v>312</v>
      </c>
      <c r="L78" s="3">
        <v>1</v>
      </c>
      <c r="M78" s="13" t="s">
        <v>312</v>
      </c>
      <c r="N78" s="3">
        <v>1</v>
      </c>
      <c r="O78" s="7" t="s">
        <v>312</v>
      </c>
      <c r="P78" s="7" t="s">
        <v>237</v>
      </c>
      <c r="Q78" s="7" t="s">
        <v>312</v>
      </c>
      <c r="R78" s="7" t="s">
        <v>30</v>
      </c>
      <c r="S78" s="13" t="s">
        <v>312</v>
      </c>
      <c r="T78" s="3">
        <v>-1</v>
      </c>
      <c r="U78" s="3">
        <v>-1</v>
      </c>
      <c r="V78" s="3">
        <v>-1</v>
      </c>
      <c r="W78" s="3">
        <v>1</v>
      </c>
      <c r="X78" s="3">
        <v>-1</v>
      </c>
      <c r="AA78" s="13" t="s">
        <v>312</v>
      </c>
      <c r="AB78" s="3">
        <v>9</v>
      </c>
    </row>
    <row r="79" spans="1:28">
      <c r="A79" s="13" t="s">
        <v>314</v>
      </c>
      <c r="E79" s="13" t="s">
        <v>315</v>
      </c>
      <c r="F79" s="3">
        <v>0</v>
      </c>
      <c r="G79" s="13" t="s">
        <v>313</v>
      </c>
      <c r="H79" s="3">
        <v>1</v>
      </c>
      <c r="I79" s="13" t="s">
        <v>313</v>
      </c>
      <c r="J79" s="3">
        <v>1</v>
      </c>
      <c r="K79" s="13" t="s">
        <v>313</v>
      </c>
      <c r="L79" s="3">
        <v>1</v>
      </c>
      <c r="M79" s="13" t="s">
        <v>313</v>
      </c>
      <c r="N79" s="3">
        <v>1</v>
      </c>
      <c r="O79" s="7" t="s">
        <v>313</v>
      </c>
      <c r="P79" s="7" t="s">
        <v>237</v>
      </c>
      <c r="Q79" s="7" t="s">
        <v>313</v>
      </c>
      <c r="R79" s="7" t="s">
        <v>30</v>
      </c>
      <c r="S79" s="13" t="s">
        <v>313</v>
      </c>
      <c r="T79" s="3">
        <v>-1</v>
      </c>
      <c r="U79" s="3">
        <v>-1</v>
      </c>
      <c r="V79" s="3">
        <v>-1</v>
      </c>
      <c r="W79" s="3">
        <v>1</v>
      </c>
      <c r="X79" s="3">
        <v>-1</v>
      </c>
      <c r="AA79" s="13" t="s">
        <v>313</v>
      </c>
      <c r="AB79" s="3">
        <v>8</v>
      </c>
    </row>
    <row r="80" spans="1:28">
      <c r="A80" s="13" t="s">
        <v>315</v>
      </c>
      <c r="E80" s="13" t="s">
        <v>316</v>
      </c>
      <c r="F80" s="3">
        <v>0</v>
      </c>
      <c r="G80" s="13" t="s">
        <v>314</v>
      </c>
      <c r="H80" s="3">
        <v>1</v>
      </c>
      <c r="I80" s="13" t="s">
        <v>314</v>
      </c>
      <c r="J80" s="3">
        <v>1</v>
      </c>
      <c r="K80" s="13" t="s">
        <v>314</v>
      </c>
      <c r="L80" s="3">
        <v>1</v>
      </c>
      <c r="M80" s="13" t="s">
        <v>314</v>
      </c>
      <c r="N80" s="3">
        <v>1</v>
      </c>
      <c r="O80" s="7" t="s">
        <v>314</v>
      </c>
      <c r="P80" s="7" t="s">
        <v>237</v>
      </c>
      <c r="Q80" s="7" t="s">
        <v>314</v>
      </c>
      <c r="R80" s="7" t="s">
        <v>30</v>
      </c>
      <c r="S80" s="13" t="s">
        <v>314</v>
      </c>
      <c r="T80" s="3">
        <v>-1</v>
      </c>
      <c r="U80" s="3">
        <v>-1</v>
      </c>
      <c r="V80" s="3">
        <v>-1</v>
      </c>
      <c r="W80" s="3">
        <v>1</v>
      </c>
      <c r="X80" s="3">
        <v>-1</v>
      </c>
      <c r="AA80" s="13" t="s">
        <v>314</v>
      </c>
      <c r="AB80" s="3">
        <v>7.5</v>
      </c>
    </row>
    <row r="81" spans="1:28">
      <c r="A81" s="13" t="s">
        <v>316</v>
      </c>
      <c r="E81" s="13" t="s">
        <v>317</v>
      </c>
      <c r="F81" s="3">
        <v>0</v>
      </c>
      <c r="G81" s="13" t="s">
        <v>315</v>
      </c>
      <c r="H81" s="3">
        <v>1</v>
      </c>
      <c r="I81" s="13" t="s">
        <v>315</v>
      </c>
      <c r="J81" s="3">
        <v>1</v>
      </c>
      <c r="K81" s="13" t="s">
        <v>315</v>
      </c>
      <c r="L81" s="3">
        <v>1</v>
      </c>
      <c r="M81" s="13" t="s">
        <v>315</v>
      </c>
      <c r="N81" s="3">
        <v>1</v>
      </c>
      <c r="O81" s="7" t="s">
        <v>315</v>
      </c>
      <c r="P81" s="7" t="s">
        <v>237</v>
      </c>
      <c r="Q81" s="7" t="s">
        <v>315</v>
      </c>
      <c r="R81" s="7" t="s">
        <v>30</v>
      </c>
      <c r="S81" s="13" t="s">
        <v>315</v>
      </c>
      <c r="T81" s="3">
        <v>-1</v>
      </c>
      <c r="U81" s="3">
        <v>-1</v>
      </c>
      <c r="V81" s="3">
        <v>-1</v>
      </c>
      <c r="W81" s="3">
        <v>1</v>
      </c>
      <c r="X81" s="3">
        <v>-1</v>
      </c>
      <c r="AA81" s="13" t="s">
        <v>315</v>
      </c>
      <c r="AB81" s="3">
        <v>7</v>
      </c>
    </row>
    <row r="82" spans="1:28">
      <c r="A82" s="13" t="s">
        <v>317</v>
      </c>
      <c r="E82" s="13" t="s">
        <v>318</v>
      </c>
      <c r="F82" s="3">
        <v>0</v>
      </c>
      <c r="G82" s="13" t="s">
        <v>316</v>
      </c>
      <c r="H82" s="3">
        <v>1</v>
      </c>
      <c r="I82" s="13" t="s">
        <v>316</v>
      </c>
      <c r="J82" s="3">
        <v>1</v>
      </c>
      <c r="K82" s="13" t="s">
        <v>316</v>
      </c>
      <c r="L82" s="3">
        <v>1</v>
      </c>
      <c r="M82" s="13" t="s">
        <v>316</v>
      </c>
      <c r="N82" s="3">
        <v>1</v>
      </c>
      <c r="O82" s="7" t="s">
        <v>316</v>
      </c>
      <c r="P82" s="7" t="s">
        <v>237</v>
      </c>
      <c r="Q82" s="7" t="s">
        <v>316</v>
      </c>
      <c r="R82" s="7" t="s">
        <v>30</v>
      </c>
      <c r="S82" s="13" t="s">
        <v>316</v>
      </c>
      <c r="T82" s="3">
        <v>-1</v>
      </c>
      <c r="U82" s="3">
        <v>-1</v>
      </c>
      <c r="V82" s="3">
        <v>-1</v>
      </c>
      <c r="W82" s="3">
        <v>1</v>
      </c>
      <c r="X82" s="3">
        <v>-1</v>
      </c>
      <c r="AA82" s="13" t="s">
        <v>316</v>
      </c>
      <c r="AB82" s="3">
        <v>6.75</v>
      </c>
    </row>
    <row r="83" spans="1:28">
      <c r="A83" s="13" t="s">
        <v>318</v>
      </c>
      <c r="E83" s="13" t="s">
        <v>319</v>
      </c>
      <c r="F83" s="3">
        <v>0</v>
      </c>
      <c r="G83" s="13" t="s">
        <v>317</v>
      </c>
      <c r="H83" s="3">
        <v>1</v>
      </c>
      <c r="I83" s="13" t="s">
        <v>317</v>
      </c>
      <c r="J83" s="3">
        <v>1</v>
      </c>
      <c r="K83" s="13" t="s">
        <v>317</v>
      </c>
      <c r="L83" s="3">
        <v>1</v>
      </c>
      <c r="M83" s="13" t="s">
        <v>317</v>
      </c>
      <c r="N83" s="3">
        <v>1</v>
      </c>
      <c r="O83" s="7" t="s">
        <v>317</v>
      </c>
      <c r="P83" s="7" t="s">
        <v>237</v>
      </c>
      <c r="Q83" s="7" t="s">
        <v>317</v>
      </c>
      <c r="R83" s="7" t="s">
        <v>30</v>
      </c>
      <c r="S83" s="13" t="s">
        <v>317</v>
      </c>
      <c r="T83" s="3">
        <v>-1</v>
      </c>
      <c r="U83" s="3">
        <v>-1</v>
      </c>
      <c r="V83" s="3">
        <v>-1</v>
      </c>
      <c r="W83" s="3">
        <v>1</v>
      </c>
      <c r="X83" s="3">
        <v>-1</v>
      </c>
      <c r="AA83" s="13" t="s">
        <v>317</v>
      </c>
      <c r="AB83" s="3">
        <v>6.5</v>
      </c>
    </row>
    <row r="84" spans="1:28">
      <c r="A84" s="13" t="s">
        <v>319</v>
      </c>
      <c r="E84" s="13" t="s">
        <v>320</v>
      </c>
      <c r="F84" s="3">
        <v>0</v>
      </c>
      <c r="G84" s="13" t="s">
        <v>318</v>
      </c>
      <c r="H84" s="3">
        <v>1</v>
      </c>
      <c r="I84" s="13" t="s">
        <v>318</v>
      </c>
      <c r="J84" s="3">
        <v>1</v>
      </c>
      <c r="K84" s="13" t="s">
        <v>318</v>
      </c>
      <c r="L84" s="3">
        <v>1</v>
      </c>
      <c r="M84" s="13" t="s">
        <v>318</v>
      </c>
      <c r="N84" s="3">
        <v>1</v>
      </c>
      <c r="O84" s="7" t="s">
        <v>318</v>
      </c>
      <c r="P84" s="7" t="s">
        <v>237</v>
      </c>
      <c r="Q84" s="7" t="s">
        <v>318</v>
      </c>
      <c r="R84" s="7" t="s">
        <v>30</v>
      </c>
      <c r="S84" s="13" t="s">
        <v>318</v>
      </c>
      <c r="T84" s="3">
        <v>-1</v>
      </c>
      <c r="U84" s="3">
        <v>-1</v>
      </c>
      <c r="V84" s="3">
        <v>-1</v>
      </c>
      <c r="W84" s="3">
        <v>1</v>
      </c>
      <c r="X84" s="3">
        <v>-1</v>
      </c>
      <c r="AA84" s="13" t="s">
        <v>318</v>
      </c>
      <c r="AB84" s="3">
        <v>6.25</v>
      </c>
    </row>
    <row r="85" spans="1:28">
      <c r="A85" s="13" t="s">
        <v>320</v>
      </c>
      <c r="E85" s="13" t="s">
        <v>323</v>
      </c>
      <c r="F85" s="3">
        <v>0</v>
      </c>
      <c r="G85" s="13" t="s">
        <v>319</v>
      </c>
      <c r="H85" s="3">
        <v>1</v>
      </c>
      <c r="I85" s="13" t="s">
        <v>319</v>
      </c>
      <c r="J85" s="3">
        <v>1</v>
      </c>
      <c r="K85" s="13" t="s">
        <v>319</v>
      </c>
      <c r="L85" s="3">
        <v>1</v>
      </c>
      <c r="M85" s="13" t="s">
        <v>319</v>
      </c>
      <c r="N85" s="3">
        <v>1</v>
      </c>
      <c r="O85" s="7" t="s">
        <v>319</v>
      </c>
      <c r="P85" s="7" t="s">
        <v>237</v>
      </c>
      <c r="Q85" s="7" t="s">
        <v>319</v>
      </c>
      <c r="R85" s="7" t="s">
        <v>30</v>
      </c>
      <c r="S85" s="13" t="s">
        <v>319</v>
      </c>
      <c r="T85" s="3">
        <v>-1</v>
      </c>
      <c r="U85" s="3">
        <v>-1</v>
      </c>
      <c r="V85" s="3">
        <v>-1</v>
      </c>
      <c r="W85" s="3">
        <v>1</v>
      </c>
      <c r="X85" s="3">
        <v>-1</v>
      </c>
      <c r="AA85" s="13" t="s">
        <v>319</v>
      </c>
      <c r="AB85" s="3">
        <v>6</v>
      </c>
    </row>
    <row r="86" spans="1:28">
      <c r="A86" s="13" t="s">
        <v>326</v>
      </c>
      <c r="E86" s="13" t="s">
        <v>326</v>
      </c>
      <c r="F86" s="3">
        <v>0</v>
      </c>
      <c r="G86" s="13" t="s">
        <v>320</v>
      </c>
      <c r="H86" s="3">
        <v>1</v>
      </c>
      <c r="I86" s="13" t="s">
        <v>320</v>
      </c>
      <c r="J86" s="3">
        <v>1</v>
      </c>
      <c r="K86" s="13" t="s">
        <v>320</v>
      </c>
      <c r="L86" s="3">
        <v>1</v>
      </c>
      <c r="M86" s="13" t="s">
        <v>320</v>
      </c>
      <c r="N86" s="3">
        <v>1</v>
      </c>
      <c r="O86" s="7" t="s">
        <v>320</v>
      </c>
      <c r="P86" s="7" t="s">
        <v>237</v>
      </c>
      <c r="Q86" s="7" t="s">
        <v>320</v>
      </c>
      <c r="R86" s="7" t="s">
        <v>30</v>
      </c>
      <c r="S86" s="13" t="s">
        <v>320</v>
      </c>
      <c r="T86" s="3">
        <v>-1</v>
      </c>
      <c r="U86" s="3">
        <v>-1</v>
      </c>
      <c r="V86" s="3">
        <v>-1</v>
      </c>
      <c r="W86" s="3">
        <v>1</v>
      </c>
      <c r="X86" s="3">
        <v>-1</v>
      </c>
      <c r="AA86" s="13" t="s">
        <v>320</v>
      </c>
      <c r="AB86" s="3">
        <v>5.75</v>
      </c>
    </row>
    <row r="87" spans="1:28">
      <c r="A87" s="13" t="s">
        <v>334</v>
      </c>
      <c r="E87" s="13" t="s">
        <v>334</v>
      </c>
      <c r="F87" s="3">
        <v>0</v>
      </c>
      <c r="G87" s="13" t="s">
        <v>324</v>
      </c>
      <c r="H87" s="3">
        <v>1</v>
      </c>
      <c r="I87" s="13" t="s">
        <v>324</v>
      </c>
      <c r="J87" s="3">
        <v>1</v>
      </c>
      <c r="K87" s="13" t="s">
        <v>324</v>
      </c>
      <c r="L87" s="3">
        <v>1</v>
      </c>
      <c r="M87" s="13" t="s">
        <v>324</v>
      </c>
      <c r="N87" s="3">
        <v>1</v>
      </c>
      <c r="O87" s="7" t="s">
        <v>324</v>
      </c>
      <c r="P87" s="7" t="s">
        <v>237</v>
      </c>
      <c r="Q87" s="7" t="s">
        <v>324</v>
      </c>
      <c r="R87" s="7" t="s">
        <v>31</v>
      </c>
      <c r="S87" s="13" t="s">
        <v>324</v>
      </c>
      <c r="T87" s="3">
        <v>-1</v>
      </c>
      <c r="U87" s="3">
        <v>-1</v>
      </c>
      <c r="V87" s="3">
        <v>-1</v>
      </c>
      <c r="W87" s="3">
        <v>1</v>
      </c>
      <c r="X87" s="3">
        <v>-1</v>
      </c>
      <c r="AA87" s="13" t="s">
        <v>324</v>
      </c>
      <c r="AB87" s="3">
        <v>7</v>
      </c>
    </row>
    <row r="88" spans="1:28">
      <c r="A88" s="13" t="s">
        <v>343</v>
      </c>
      <c r="E88" s="13" t="s">
        <v>328</v>
      </c>
      <c r="F88" s="3">
        <v>0</v>
      </c>
      <c r="G88" s="13" t="s">
        <v>325</v>
      </c>
      <c r="H88" s="3">
        <v>1</v>
      </c>
      <c r="I88" s="13" t="s">
        <v>325</v>
      </c>
      <c r="J88" s="3">
        <v>1</v>
      </c>
      <c r="K88" s="13" t="s">
        <v>325</v>
      </c>
      <c r="L88" s="3">
        <v>1</v>
      </c>
      <c r="M88" s="13" t="s">
        <v>325</v>
      </c>
      <c r="N88" s="3">
        <v>1</v>
      </c>
      <c r="O88" s="7" t="s">
        <v>325</v>
      </c>
      <c r="P88" s="7" t="s">
        <v>237</v>
      </c>
      <c r="Q88" s="7" t="s">
        <v>325</v>
      </c>
      <c r="R88" s="7" t="s">
        <v>31</v>
      </c>
      <c r="S88" s="13" t="s">
        <v>325</v>
      </c>
      <c r="T88" s="3">
        <v>-1</v>
      </c>
      <c r="U88" s="3">
        <v>-1</v>
      </c>
      <c r="V88" s="3">
        <v>-1</v>
      </c>
      <c r="W88" s="3">
        <v>1</v>
      </c>
      <c r="X88" s="3">
        <v>-1</v>
      </c>
      <c r="AA88" s="13" t="s">
        <v>325</v>
      </c>
      <c r="AB88" s="3">
        <v>6</v>
      </c>
    </row>
    <row r="89" spans="1:28">
      <c r="A89" s="13" t="s">
        <v>344</v>
      </c>
      <c r="E89" s="13" t="s">
        <v>331</v>
      </c>
      <c r="F89" s="3">
        <v>0</v>
      </c>
      <c r="G89" s="13" t="s">
        <v>326</v>
      </c>
      <c r="H89" s="3">
        <v>1</v>
      </c>
      <c r="I89" s="13" t="s">
        <v>326</v>
      </c>
      <c r="J89" s="3">
        <v>1</v>
      </c>
      <c r="K89" s="13" t="s">
        <v>326</v>
      </c>
      <c r="L89" s="3">
        <v>1</v>
      </c>
      <c r="M89" s="13" t="s">
        <v>326</v>
      </c>
      <c r="N89" s="3">
        <v>1</v>
      </c>
      <c r="O89" s="7" t="s">
        <v>326</v>
      </c>
      <c r="P89" s="7" t="s">
        <v>237</v>
      </c>
      <c r="Q89" s="7" t="s">
        <v>326</v>
      </c>
      <c r="R89" s="7" t="s">
        <v>30</v>
      </c>
      <c r="S89" s="13" t="s">
        <v>326</v>
      </c>
      <c r="T89" s="3">
        <v>-1</v>
      </c>
      <c r="U89" s="3">
        <v>-1</v>
      </c>
      <c r="V89" s="3">
        <v>-1</v>
      </c>
      <c r="W89" s="3">
        <v>1</v>
      </c>
      <c r="X89" s="3">
        <v>-1</v>
      </c>
      <c r="AA89" s="13" t="s">
        <v>326</v>
      </c>
      <c r="AB89" s="3">
        <v>7.35</v>
      </c>
    </row>
    <row r="90" spans="1:28">
      <c r="A90" s="13" t="s">
        <v>345</v>
      </c>
      <c r="E90" s="13" t="s">
        <v>324</v>
      </c>
      <c r="F90" s="3">
        <v>0</v>
      </c>
      <c r="G90" s="13" t="s">
        <v>328</v>
      </c>
      <c r="H90" s="3">
        <v>1</v>
      </c>
      <c r="I90" s="13" t="s">
        <v>328</v>
      </c>
      <c r="J90" s="3">
        <v>1</v>
      </c>
      <c r="K90" s="13" t="s">
        <v>328</v>
      </c>
      <c r="L90" s="3">
        <v>1</v>
      </c>
      <c r="M90" s="13" t="s">
        <v>328</v>
      </c>
      <c r="N90" s="3">
        <v>1</v>
      </c>
      <c r="O90" s="7" t="s">
        <v>328</v>
      </c>
      <c r="P90" s="7" t="s">
        <v>259</v>
      </c>
      <c r="Q90" s="7" t="s">
        <v>328</v>
      </c>
      <c r="R90" s="7" t="s">
        <v>31</v>
      </c>
      <c r="S90" s="13" t="s">
        <v>328</v>
      </c>
      <c r="T90" s="3">
        <v>2</v>
      </c>
      <c r="U90" s="3">
        <v>2</v>
      </c>
      <c r="V90" s="3">
        <v>1</v>
      </c>
      <c r="W90" s="3">
        <v>2</v>
      </c>
      <c r="X90" s="3">
        <v>1</v>
      </c>
      <c r="AA90" s="13" t="s">
        <v>328</v>
      </c>
      <c r="AB90" s="3">
        <v>7</v>
      </c>
    </row>
    <row r="91" spans="1:28">
      <c r="A91" s="13" t="s">
        <v>346</v>
      </c>
      <c r="E91" s="13" t="s">
        <v>325</v>
      </c>
      <c r="F91" s="3">
        <v>0</v>
      </c>
      <c r="G91" s="13" t="s">
        <v>329</v>
      </c>
      <c r="H91" s="3">
        <v>1</v>
      </c>
      <c r="I91" s="13" t="s">
        <v>329</v>
      </c>
      <c r="J91" s="3">
        <v>1</v>
      </c>
      <c r="K91" s="13" t="s">
        <v>329</v>
      </c>
      <c r="L91" s="3">
        <v>1</v>
      </c>
      <c r="M91" s="13" t="s">
        <v>329</v>
      </c>
      <c r="N91" s="3">
        <v>1</v>
      </c>
      <c r="O91" s="7" t="s">
        <v>329</v>
      </c>
      <c r="P91" s="7" t="s">
        <v>330</v>
      </c>
      <c r="Q91" s="7" t="s">
        <v>329</v>
      </c>
      <c r="R91" s="7" t="s">
        <v>31</v>
      </c>
      <c r="S91" s="13" t="s">
        <v>329</v>
      </c>
      <c r="T91" s="3">
        <v>2</v>
      </c>
      <c r="U91" s="3">
        <v>2</v>
      </c>
      <c r="V91" s="3">
        <v>1</v>
      </c>
      <c r="W91" s="3">
        <v>2</v>
      </c>
      <c r="X91" s="3">
        <v>1</v>
      </c>
      <c r="AA91" s="13" t="s">
        <v>329</v>
      </c>
      <c r="AB91" s="3">
        <v>7</v>
      </c>
    </row>
    <row r="92" spans="1:28">
      <c r="A92" s="13" t="s">
        <v>335</v>
      </c>
      <c r="E92" s="13" t="s">
        <v>335</v>
      </c>
      <c r="F92" s="3">
        <v>0</v>
      </c>
      <c r="G92" s="13" t="s">
        <v>331</v>
      </c>
      <c r="H92" s="3">
        <v>1</v>
      </c>
      <c r="I92" s="13" t="s">
        <v>331</v>
      </c>
      <c r="J92" s="3">
        <v>1</v>
      </c>
      <c r="K92" s="13" t="s">
        <v>331</v>
      </c>
      <c r="L92" s="3">
        <v>1</v>
      </c>
      <c r="M92" s="13" t="s">
        <v>331</v>
      </c>
      <c r="N92" s="3">
        <v>1</v>
      </c>
      <c r="O92" s="7" t="s">
        <v>331</v>
      </c>
      <c r="P92" s="7" t="s">
        <v>332</v>
      </c>
      <c r="Q92" s="7" t="s">
        <v>331</v>
      </c>
      <c r="R92" s="7" t="s">
        <v>31</v>
      </c>
      <c r="S92" s="13" t="s">
        <v>331</v>
      </c>
      <c r="T92" s="3">
        <v>2</v>
      </c>
      <c r="U92" s="3">
        <v>2</v>
      </c>
      <c r="V92" s="3">
        <v>1</v>
      </c>
      <c r="W92" s="3">
        <v>2</v>
      </c>
      <c r="X92" s="3">
        <v>1</v>
      </c>
      <c r="AA92" s="13" t="s">
        <v>331</v>
      </c>
      <c r="AB92" s="3">
        <v>7</v>
      </c>
    </row>
    <row r="93" spans="1:28">
      <c r="A93" s="13" t="s">
        <v>339</v>
      </c>
      <c r="E93" s="13" t="s">
        <v>336</v>
      </c>
      <c r="F93" s="3">
        <v>0</v>
      </c>
      <c r="G93" s="13" t="s">
        <v>334</v>
      </c>
      <c r="H93" s="3">
        <v>1</v>
      </c>
      <c r="I93" s="13" t="s">
        <v>334</v>
      </c>
      <c r="J93" s="3">
        <v>1</v>
      </c>
      <c r="K93" s="13" t="s">
        <v>334</v>
      </c>
      <c r="L93" s="3">
        <v>1</v>
      </c>
      <c r="M93" s="13" t="s">
        <v>334</v>
      </c>
      <c r="N93" s="3">
        <v>1</v>
      </c>
      <c r="O93" s="7" t="s">
        <v>334</v>
      </c>
      <c r="P93" s="7" t="s">
        <v>259</v>
      </c>
      <c r="Q93" s="7" t="s">
        <v>334</v>
      </c>
      <c r="R93" s="7" t="s">
        <v>30</v>
      </c>
      <c r="S93" s="13" t="s">
        <v>334</v>
      </c>
      <c r="T93" s="3">
        <v>2</v>
      </c>
      <c r="U93" s="3">
        <v>2</v>
      </c>
      <c r="V93" s="3">
        <v>1</v>
      </c>
      <c r="W93" s="3">
        <v>2</v>
      </c>
      <c r="X93" s="3">
        <v>1</v>
      </c>
      <c r="AA93" s="13" t="s">
        <v>334</v>
      </c>
      <c r="AB93" s="3">
        <v>7.35</v>
      </c>
    </row>
    <row r="94" spans="1:28">
      <c r="A94" s="13" t="s">
        <v>342</v>
      </c>
      <c r="E94" s="13" t="s">
        <v>337</v>
      </c>
      <c r="F94" s="3">
        <v>0</v>
      </c>
      <c r="G94" s="13" t="s">
        <v>335</v>
      </c>
      <c r="H94" s="3">
        <v>1</v>
      </c>
      <c r="I94" s="13" t="s">
        <v>335</v>
      </c>
      <c r="J94" s="3">
        <v>1</v>
      </c>
      <c r="K94" s="13" t="s">
        <v>335</v>
      </c>
      <c r="L94" s="3">
        <v>1</v>
      </c>
      <c r="M94" s="13" t="s">
        <v>335</v>
      </c>
      <c r="N94" s="3">
        <v>1</v>
      </c>
      <c r="O94" s="7" t="s">
        <v>335</v>
      </c>
      <c r="P94" s="7" t="s">
        <v>237</v>
      </c>
      <c r="Q94" s="7" t="s">
        <v>335</v>
      </c>
      <c r="R94" s="7" t="s">
        <v>30</v>
      </c>
      <c r="S94" s="13" t="s">
        <v>335</v>
      </c>
      <c r="T94" s="3">
        <v>-1</v>
      </c>
      <c r="U94" s="3">
        <v>-1</v>
      </c>
      <c r="V94" s="3">
        <v>-1</v>
      </c>
      <c r="W94" s="3">
        <v>1</v>
      </c>
      <c r="X94" s="3">
        <v>-1</v>
      </c>
      <c r="AA94" s="13" t="s">
        <v>335</v>
      </c>
      <c r="AB94" s="3">
        <v>7.2</v>
      </c>
    </row>
    <row r="95" spans="1:28">
      <c r="A95" s="13" t="s">
        <v>357</v>
      </c>
      <c r="E95" s="13" t="s">
        <v>338</v>
      </c>
      <c r="F95" s="3">
        <v>0</v>
      </c>
      <c r="G95" s="13" t="s">
        <v>336</v>
      </c>
      <c r="H95" s="3">
        <v>1</v>
      </c>
      <c r="I95" s="13" t="s">
        <v>336</v>
      </c>
      <c r="J95" s="3">
        <v>1</v>
      </c>
      <c r="K95" s="13" t="s">
        <v>336</v>
      </c>
      <c r="L95" s="3">
        <v>1</v>
      </c>
      <c r="M95" s="13" t="s">
        <v>336</v>
      </c>
      <c r="N95" s="3">
        <v>1</v>
      </c>
      <c r="O95" s="7" t="s">
        <v>336</v>
      </c>
      <c r="P95" s="7" t="s">
        <v>237</v>
      </c>
      <c r="Q95" s="7" t="s">
        <v>336</v>
      </c>
      <c r="R95" s="7" t="s">
        <v>31</v>
      </c>
      <c r="S95" s="13" t="s">
        <v>336</v>
      </c>
      <c r="T95" s="3">
        <v>-1</v>
      </c>
      <c r="U95" s="3">
        <v>-1</v>
      </c>
      <c r="V95" s="3">
        <v>-1</v>
      </c>
      <c r="W95" s="3">
        <v>1</v>
      </c>
      <c r="X95" s="3">
        <v>-1</v>
      </c>
      <c r="AA95" s="13" t="s">
        <v>336</v>
      </c>
      <c r="AB95" s="3">
        <v>7.2</v>
      </c>
    </row>
    <row r="96" spans="1:28">
      <c r="A96" s="13" t="s">
        <v>328</v>
      </c>
      <c r="E96" s="13" t="s">
        <v>339</v>
      </c>
      <c r="F96" s="3">
        <v>0</v>
      </c>
      <c r="G96" s="13" t="s">
        <v>337</v>
      </c>
      <c r="H96" s="3">
        <v>1</v>
      </c>
      <c r="I96" s="13" t="s">
        <v>337</v>
      </c>
      <c r="J96" s="3">
        <v>1</v>
      </c>
      <c r="K96" s="13" t="s">
        <v>337</v>
      </c>
      <c r="L96" s="3">
        <v>1</v>
      </c>
      <c r="M96" s="13" t="s">
        <v>337</v>
      </c>
      <c r="N96" s="3">
        <v>1</v>
      </c>
      <c r="O96" s="7" t="s">
        <v>337</v>
      </c>
      <c r="P96" s="7" t="s">
        <v>237</v>
      </c>
      <c r="Q96" s="7" t="s">
        <v>337</v>
      </c>
      <c r="R96" s="7" t="s">
        <v>31</v>
      </c>
      <c r="S96" s="13" t="s">
        <v>337</v>
      </c>
      <c r="T96" s="3">
        <v>-1</v>
      </c>
      <c r="U96" s="3">
        <v>-1</v>
      </c>
      <c r="V96" s="3">
        <v>-1</v>
      </c>
      <c r="W96" s="3">
        <v>1</v>
      </c>
      <c r="X96" s="3">
        <v>-1</v>
      </c>
      <c r="AA96" s="13" t="s">
        <v>337</v>
      </c>
      <c r="AB96" s="3">
        <v>7.5</v>
      </c>
    </row>
    <row r="97" spans="1:28">
      <c r="A97" s="13" t="s">
        <v>331</v>
      </c>
      <c r="E97" s="13" t="s">
        <v>236</v>
      </c>
      <c r="F97" s="3">
        <v>0</v>
      </c>
      <c r="G97" s="13" t="s">
        <v>338</v>
      </c>
      <c r="H97" s="3">
        <v>1</v>
      </c>
      <c r="I97" s="13" t="s">
        <v>338</v>
      </c>
      <c r="J97" s="3">
        <v>1</v>
      </c>
      <c r="K97" s="13" t="s">
        <v>338</v>
      </c>
      <c r="L97" s="3">
        <v>1</v>
      </c>
      <c r="M97" s="13" t="s">
        <v>338</v>
      </c>
      <c r="N97" s="3">
        <v>1</v>
      </c>
      <c r="O97" s="7" t="s">
        <v>338</v>
      </c>
      <c r="P97" s="7" t="s">
        <v>237</v>
      </c>
      <c r="Q97" s="7" t="s">
        <v>338</v>
      </c>
      <c r="R97" s="7" t="s">
        <v>31</v>
      </c>
      <c r="S97" s="13" t="s">
        <v>338</v>
      </c>
      <c r="T97" s="3">
        <v>-1</v>
      </c>
      <c r="U97" s="3">
        <v>-1</v>
      </c>
      <c r="V97" s="3">
        <v>-1</v>
      </c>
      <c r="W97" s="3">
        <v>1</v>
      </c>
      <c r="X97" s="3">
        <v>-1</v>
      </c>
      <c r="AA97" s="13" t="s">
        <v>338</v>
      </c>
      <c r="AB97" s="3">
        <v>8</v>
      </c>
    </row>
    <row r="98" spans="1:28">
      <c r="A98" s="13" t="s">
        <v>324</v>
      </c>
      <c r="E98" s="13" t="s">
        <v>342</v>
      </c>
      <c r="F98" s="3">
        <v>0</v>
      </c>
      <c r="G98" s="13" t="s">
        <v>339</v>
      </c>
      <c r="H98" s="3">
        <v>1</v>
      </c>
      <c r="I98" s="13" t="s">
        <v>339</v>
      </c>
      <c r="J98" s="3">
        <v>1</v>
      </c>
      <c r="K98" s="13" t="s">
        <v>339</v>
      </c>
      <c r="L98" s="3">
        <v>1</v>
      </c>
      <c r="M98" s="13" t="s">
        <v>339</v>
      </c>
      <c r="N98" s="3">
        <v>1</v>
      </c>
      <c r="O98" s="7" t="s">
        <v>339</v>
      </c>
      <c r="P98" s="7" t="s">
        <v>340</v>
      </c>
      <c r="Q98" s="7" t="s">
        <v>339</v>
      </c>
      <c r="R98" s="7" t="s">
        <v>30</v>
      </c>
      <c r="S98" s="13" t="s">
        <v>339</v>
      </c>
      <c r="T98" s="3">
        <v>2</v>
      </c>
      <c r="U98" s="3">
        <v>2</v>
      </c>
      <c r="V98" s="3">
        <v>-1</v>
      </c>
      <c r="W98" s="3">
        <v>2</v>
      </c>
      <c r="X98" s="3">
        <v>1</v>
      </c>
      <c r="AA98" s="13" t="s">
        <v>339</v>
      </c>
      <c r="AB98" s="3">
        <v>100</v>
      </c>
    </row>
    <row r="99" spans="1:28">
      <c r="A99" s="13" t="s">
        <v>325</v>
      </c>
      <c r="E99" s="13" t="s">
        <v>343</v>
      </c>
      <c r="F99" s="3">
        <v>0</v>
      </c>
      <c r="G99" s="13" t="s">
        <v>341</v>
      </c>
      <c r="H99" s="3">
        <v>1</v>
      </c>
      <c r="I99" s="13" t="s">
        <v>341</v>
      </c>
      <c r="J99" s="3">
        <v>1</v>
      </c>
      <c r="K99" s="13" t="s">
        <v>341</v>
      </c>
      <c r="L99" s="3">
        <v>1</v>
      </c>
      <c r="M99" s="13" t="s">
        <v>341</v>
      </c>
      <c r="N99" s="3">
        <v>1</v>
      </c>
      <c r="O99" s="7" t="s">
        <v>341</v>
      </c>
      <c r="P99" s="7" t="s">
        <v>330</v>
      </c>
      <c r="Q99" s="7" t="s">
        <v>341</v>
      </c>
      <c r="R99" s="7" t="s">
        <v>31</v>
      </c>
      <c r="S99" s="13" t="s">
        <v>341</v>
      </c>
      <c r="T99" s="3">
        <v>2</v>
      </c>
      <c r="U99" s="3">
        <v>2</v>
      </c>
      <c r="V99" s="3">
        <v>1</v>
      </c>
      <c r="W99" s="3">
        <v>2</v>
      </c>
      <c r="X99" s="3">
        <v>1</v>
      </c>
      <c r="AA99" s="13" t="s">
        <v>341</v>
      </c>
      <c r="AB99" s="3">
        <v>100</v>
      </c>
    </row>
    <row r="100" spans="1:28">
      <c r="A100" s="13" t="s">
        <v>336</v>
      </c>
      <c r="E100" s="13" t="s">
        <v>344</v>
      </c>
      <c r="F100" s="3">
        <v>0</v>
      </c>
      <c r="G100" s="13" t="s">
        <v>342</v>
      </c>
      <c r="H100" s="3">
        <v>1</v>
      </c>
      <c r="I100" s="13" t="s">
        <v>342</v>
      </c>
      <c r="J100" s="3">
        <v>1</v>
      </c>
      <c r="K100" s="13" t="s">
        <v>342</v>
      </c>
      <c r="L100" s="3">
        <v>1</v>
      </c>
      <c r="M100" s="13" t="s">
        <v>342</v>
      </c>
      <c r="N100" s="3">
        <v>1</v>
      </c>
      <c r="O100" s="7" t="s">
        <v>342</v>
      </c>
      <c r="P100" s="7" t="s">
        <v>330</v>
      </c>
      <c r="Q100" s="7" t="s">
        <v>342</v>
      </c>
      <c r="R100" s="7" t="s">
        <v>30</v>
      </c>
      <c r="S100" s="13" t="s">
        <v>342</v>
      </c>
      <c r="T100" s="3">
        <v>2</v>
      </c>
      <c r="U100" s="3">
        <v>2</v>
      </c>
      <c r="V100" s="3">
        <v>1</v>
      </c>
      <c r="W100" s="3">
        <v>2</v>
      </c>
      <c r="X100" s="3">
        <v>1</v>
      </c>
      <c r="AA100" s="13" t="s">
        <v>342</v>
      </c>
      <c r="AB100" s="3">
        <v>100</v>
      </c>
    </row>
    <row r="101" spans="1:28">
      <c r="A101" s="13" t="s">
        <v>337</v>
      </c>
      <c r="E101" s="13" t="s">
        <v>345</v>
      </c>
      <c r="F101" s="3">
        <v>0</v>
      </c>
      <c r="G101" s="13" t="s">
        <v>343</v>
      </c>
      <c r="H101" s="3">
        <v>1</v>
      </c>
      <c r="I101" s="13" t="s">
        <v>343</v>
      </c>
      <c r="J101" s="3">
        <v>1</v>
      </c>
      <c r="K101" s="13" t="s">
        <v>343</v>
      </c>
      <c r="L101" s="3">
        <v>1</v>
      </c>
      <c r="M101" s="13" t="s">
        <v>343</v>
      </c>
      <c r="N101" s="3">
        <v>1</v>
      </c>
      <c r="O101" s="7" t="s">
        <v>343</v>
      </c>
      <c r="P101" s="7" t="s">
        <v>330</v>
      </c>
      <c r="Q101" s="7" t="s">
        <v>343</v>
      </c>
      <c r="R101" s="7" t="s">
        <v>30</v>
      </c>
      <c r="S101" s="13" t="s">
        <v>343</v>
      </c>
      <c r="T101" s="3">
        <v>2</v>
      </c>
      <c r="U101" s="3">
        <v>2</v>
      </c>
      <c r="V101" s="3">
        <v>1</v>
      </c>
      <c r="W101" s="3">
        <v>2</v>
      </c>
      <c r="X101" s="3">
        <v>1</v>
      </c>
      <c r="AA101" s="13" t="s">
        <v>343</v>
      </c>
      <c r="AB101" s="3">
        <v>6.5</v>
      </c>
    </row>
    <row r="102" spans="1:28">
      <c r="A102" s="13" t="s">
        <v>338</v>
      </c>
      <c r="E102" s="13" t="s">
        <v>346</v>
      </c>
      <c r="F102" s="3">
        <v>0</v>
      </c>
      <c r="G102" s="13" t="s">
        <v>344</v>
      </c>
      <c r="H102" s="3">
        <v>1</v>
      </c>
      <c r="I102" s="13" t="s">
        <v>344</v>
      </c>
      <c r="J102" s="3">
        <v>1</v>
      </c>
      <c r="K102" s="13" t="s">
        <v>344</v>
      </c>
      <c r="L102" s="3">
        <v>1</v>
      </c>
      <c r="M102" s="13" t="s">
        <v>344</v>
      </c>
      <c r="N102" s="3">
        <v>1</v>
      </c>
      <c r="O102" s="7" t="s">
        <v>344</v>
      </c>
      <c r="P102" s="7" t="s">
        <v>330</v>
      </c>
      <c r="Q102" s="7" t="s">
        <v>344</v>
      </c>
      <c r="R102" s="7" t="s">
        <v>30</v>
      </c>
      <c r="S102" s="13" t="s">
        <v>344</v>
      </c>
      <c r="T102" s="3">
        <v>2</v>
      </c>
      <c r="U102" s="3">
        <v>2</v>
      </c>
      <c r="V102" s="3">
        <v>1</v>
      </c>
      <c r="W102" s="3">
        <v>2</v>
      </c>
      <c r="X102" s="3">
        <v>1</v>
      </c>
      <c r="AA102" s="13" t="s">
        <v>344</v>
      </c>
      <c r="AB102" s="3">
        <v>6</v>
      </c>
    </row>
    <row r="103" spans="1:28">
      <c r="A103" s="13" t="s">
        <v>341</v>
      </c>
      <c r="E103" s="13" t="s">
        <v>357</v>
      </c>
      <c r="F103" s="3">
        <v>0</v>
      </c>
      <c r="G103" s="13" t="s">
        <v>345</v>
      </c>
      <c r="H103" s="3">
        <v>1</v>
      </c>
      <c r="I103" s="13" t="s">
        <v>345</v>
      </c>
      <c r="J103" s="3">
        <v>1</v>
      </c>
      <c r="K103" s="13" t="s">
        <v>345</v>
      </c>
      <c r="L103" s="3">
        <v>1</v>
      </c>
      <c r="M103" s="13" t="s">
        <v>345</v>
      </c>
      <c r="N103" s="3">
        <v>1</v>
      </c>
      <c r="O103" s="7" t="s">
        <v>345</v>
      </c>
      <c r="P103" s="7" t="s">
        <v>330</v>
      </c>
      <c r="Q103" s="7" t="s">
        <v>345</v>
      </c>
      <c r="R103" s="7" t="s">
        <v>30</v>
      </c>
      <c r="S103" s="13" t="s">
        <v>345</v>
      </c>
      <c r="T103" s="3">
        <v>2</v>
      </c>
      <c r="U103" s="3">
        <v>2</v>
      </c>
      <c r="V103" s="3">
        <v>1</v>
      </c>
      <c r="W103" s="3">
        <v>2</v>
      </c>
      <c r="X103" s="3">
        <v>1</v>
      </c>
      <c r="AA103" s="13" t="s">
        <v>345</v>
      </c>
      <c r="AB103" s="3">
        <v>7</v>
      </c>
    </row>
    <row r="104" spans="1:28">
      <c r="A104" s="13" t="s">
        <v>329</v>
      </c>
      <c r="E104" s="13" t="s">
        <v>341</v>
      </c>
      <c r="F104" s="3">
        <v>0</v>
      </c>
      <c r="G104" s="13" t="s">
        <v>346</v>
      </c>
      <c r="H104" s="3">
        <v>1</v>
      </c>
      <c r="I104" s="13" t="s">
        <v>346</v>
      </c>
      <c r="J104" s="3">
        <v>1</v>
      </c>
      <c r="K104" s="13" t="s">
        <v>346</v>
      </c>
      <c r="L104" s="3">
        <v>1</v>
      </c>
      <c r="M104" s="13" t="s">
        <v>346</v>
      </c>
      <c r="N104" s="3">
        <v>1</v>
      </c>
      <c r="O104" s="7" t="s">
        <v>346</v>
      </c>
      <c r="P104" s="7" t="s">
        <v>330</v>
      </c>
      <c r="Q104" s="7" t="s">
        <v>346</v>
      </c>
      <c r="R104" s="7" t="s">
        <v>30</v>
      </c>
      <c r="S104" s="13" t="s">
        <v>346</v>
      </c>
      <c r="T104" s="3">
        <v>2</v>
      </c>
      <c r="U104" s="3">
        <v>2</v>
      </c>
      <c r="V104" s="3">
        <v>1</v>
      </c>
      <c r="W104" s="3">
        <v>2</v>
      </c>
      <c r="X104" s="3">
        <v>1</v>
      </c>
      <c r="AA104" s="13" t="s">
        <v>346</v>
      </c>
      <c r="AB104" s="3">
        <v>7.5</v>
      </c>
    </row>
    <row r="105" spans="1:28">
      <c r="A105" s="13" t="s">
        <v>323</v>
      </c>
      <c r="E105" s="13" t="s">
        <v>329</v>
      </c>
      <c r="F105" s="3">
        <v>0</v>
      </c>
      <c r="G105" s="13" t="s">
        <v>347</v>
      </c>
      <c r="H105" s="3">
        <v>1</v>
      </c>
      <c r="I105" s="13" t="s">
        <v>347</v>
      </c>
      <c r="J105" s="3">
        <v>1</v>
      </c>
      <c r="K105" s="13" t="s">
        <v>347</v>
      </c>
      <c r="L105" s="3">
        <v>1</v>
      </c>
      <c r="M105" s="13" t="s">
        <v>347</v>
      </c>
      <c r="N105" s="3">
        <v>1</v>
      </c>
      <c r="O105" s="7" t="s">
        <v>347</v>
      </c>
      <c r="P105" s="7" t="s">
        <v>259</v>
      </c>
      <c r="Q105" s="7" t="s">
        <v>347</v>
      </c>
      <c r="R105" s="7" t="s">
        <v>31</v>
      </c>
      <c r="S105" s="13" t="s">
        <v>347</v>
      </c>
      <c r="T105" s="3">
        <v>2</v>
      </c>
      <c r="U105" s="3">
        <v>2</v>
      </c>
      <c r="V105" s="3">
        <v>1</v>
      </c>
      <c r="W105" s="3">
        <v>2</v>
      </c>
      <c r="X105" s="3">
        <v>1</v>
      </c>
      <c r="AA105" s="13" t="s">
        <v>347</v>
      </c>
      <c r="AB105" s="3">
        <v>6</v>
      </c>
    </row>
    <row r="106" spans="1:28">
      <c r="A106" s="13" t="s">
        <v>347</v>
      </c>
      <c r="E106" s="13" t="s">
        <v>347</v>
      </c>
      <c r="F106" s="3">
        <v>0</v>
      </c>
      <c r="G106" s="13" t="s">
        <v>348</v>
      </c>
      <c r="H106" s="3">
        <v>1</v>
      </c>
      <c r="I106" s="13" t="s">
        <v>348</v>
      </c>
      <c r="J106" s="3">
        <v>1</v>
      </c>
      <c r="K106" s="13" t="s">
        <v>348</v>
      </c>
      <c r="L106" s="3">
        <v>1</v>
      </c>
      <c r="M106" s="13" t="s">
        <v>348</v>
      </c>
      <c r="N106" s="3">
        <v>1</v>
      </c>
      <c r="O106" s="7" t="s">
        <v>348</v>
      </c>
      <c r="P106" s="7" t="s">
        <v>330</v>
      </c>
      <c r="Q106" s="7" t="s">
        <v>348</v>
      </c>
      <c r="R106" s="7" t="s">
        <v>31</v>
      </c>
      <c r="S106" s="13" t="s">
        <v>348</v>
      </c>
      <c r="T106" s="3">
        <v>2</v>
      </c>
      <c r="U106" s="3">
        <v>2</v>
      </c>
      <c r="V106" s="3">
        <v>1</v>
      </c>
      <c r="W106" s="3">
        <v>2</v>
      </c>
      <c r="X106" s="3">
        <v>1</v>
      </c>
      <c r="AA106" s="13" t="s">
        <v>348</v>
      </c>
      <c r="AB106" s="3">
        <v>6</v>
      </c>
    </row>
    <row r="107" spans="1:28">
      <c r="A107" s="13" t="s">
        <v>348</v>
      </c>
      <c r="E107" s="13" t="s">
        <v>348</v>
      </c>
      <c r="F107" s="3">
        <v>0</v>
      </c>
      <c r="G107" s="13" t="s">
        <v>349</v>
      </c>
      <c r="H107" s="3">
        <v>1</v>
      </c>
      <c r="I107" s="13" t="s">
        <v>349</v>
      </c>
      <c r="J107" s="3">
        <v>1</v>
      </c>
      <c r="K107" s="13" t="s">
        <v>349</v>
      </c>
      <c r="L107" s="3">
        <v>1</v>
      </c>
      <c r="M107" s="13" t="s">
        <v>349</v>
      </c>
      <c r="N107" s="3">
        <v>1</v>
      </c>
      <c r="O107" s="7" t="s">
        <v>349</v>
      </c>
      <c r="P107" s="7" t="s">
        <v>259</v>
      </c>
      <c r="Q107" s="7" t="s">
        <v>349</v>
      </c>
      <c r="R107" s="7" t="s">
        <v>31</v>
      </c>
      <c r="S107" s="13" t="s">
        <v>349</v>
      </c>
      <c r="T107" s="3">
        <v>2</v>
      </c>
      <c r="U107" s="3">
        <v>2</v>
      </c>
      <c r="V107" s="3">
        <v>1</v>
      </c>
      <c r="W107" s="3">
        <v>2</v>
      </c>
      <c r="X107" s="3">
        <v>1</v>
      </c>
      <c r="AA107" s="13" t="s">
        <v>349</v>
      </c>
      <c r="AB107" s="3">
        <v>6.5</v>
      </c>
    </row>
    <row r="108" spans="1:28">
      <c r="A108" s="13" t="s">
        <v>349</v>
      </c>
      <c r="E108" s="13" t="s">
        <v>349</v>
      </c>
      <c r="F108" s="3">
        <v>0</v>
      </c>
      <c r="G108" s="13" t="s">
        <v>350</v>
      </c>
      <c r="H108" s="3">
        <v>1</v>
      </c>
      <c r="I108" s="13" t="s">
        <v>350</v>
      </c>
      <c r="J108" s="3">
        <v>1</v>
      </c>
      <c r="K108" s="13" t="s">
        <v>350</v>
      </c>
      <c r="L108" s="3">
        <v>1</v>
      </c>
      <c r="M108" s="13" t="s">
        <v>350</v>
      </c>
      <c r="N108" s="3">
        <v>1</v>
      </c>
      <c r="O108" s="7" t="s">
        <v>350</v>
      </c>
      <c r="P108" s="7" t="s">
        <v>330</v>
      </c>
      <c r="Q108" s="7" t="s">
        <v>350</v>
      </c>
      <c r="R108" s="7" t="s">
        <v>31</v>
      </c>
      <c r="S108" s="13" t="s">
        <v>350</v>
      </c>
      <c r="T108" s="3">
        <v>2</v>
      </c>
      <c r="U108" s="3">
        <v>2</v>
      </c>
      <c r="V108" s="3">
        <v>1</v>
      </c>
      <c r="W108" s="3">
        <v>2</v>
      </c>
      <c r="X108" s="3">
        <v>1</v>
      </c>
      <c r="AA108" s="13" t="s">
        <v>350</v>
      </c>
      <c r="AB108" s="3">
        <v>6.5</v>
      </c>
    </row>
    <row r="109" spans="1:28">
      <c r="A109" s="13" t="s">
        <v>350</v>
      </c>
      <c r="E109" s="13" t="s">
        <v>350</v>
      </c>
      <c r="F109" s="3">
        <v>0</v>
      </c>
      <c r="G109" s="13" t="s">
        <v>351</v>
      </c>
      <c r="H109" s="3">
        <v>1</v>
      </c>
      <c r="I109" s="13" t="s">
        <v>351</v>
      </c>
      <c r="J109" s="3">
        <v>1</v>
      </c>
      <c r="K109" s="13" t="s">
        <v>351</v>
      </c>
      <c r="L109" s="3">
        <v>1</v>
      </c>
      <c r="M109" s="13" t="s">
        <v>351</v>
      </c>
      <c r="N109" s="3">
        <v>1</v>
      </c>
      <c r="O109" s="7" t="s">
        <v>351</v>
      </c>
      <c r="P109" s="7" t="s">
        <v>259</v>
      </c>
      <c r="Q109" s="7" t="s">
        <v>351</v>
      </c>
      <c r="R109" s="7" t="s">
        <v>31</v>
      </c>
      <c r="S109" s="13" t="s">
        <v>351</v>
      </c>
      <c r="T109" s="3">
        <v>2</v>
      </c>
      <c r="U109" s="3">
        <v>2</v>
      </c>
      <c r="V109" s="3">
        <v>1</v>
      </c>
      <c r="W109" s="3">
        <v>2</v>
      </c>
      <c r="X109" s="3">
        <v>1</v>
      </c>
      <c r="AA109" s="13" t="s">
        <v>351</v>
      </c>
      <c r="AB109" s="3">
        <v>7.2</v>
      </c>
    </row>
    <row r="110" spans="1:28">
      <c r="A110" s="13" t="s">
        <v>351</v>
      </c>
      <c r="E110" s="13" t="s">
        <v>351</v>
      </c>
      <c r="F110" s="3">
        <v>0</v>
      </c>
      <c r="G110" s="13" t="s">
        <v>352</v>
      </c>
      <c r="H110" s="3">
        <v>1</v>
      </c>
      <c r="I110" s="13" t="s">
        <v>352</v>
      </c>
      <c r="J110" s="3">
        <v>1</v>
      </c>
      <c r="K110" s="13" t="s">
        <v>352</v>
      </c>
      <c r="L110" s="3">
        <v>1</v>
      </c>
      <c r="M110" s="13" t="s">
        <v>352</v>
      </c>
      <c r="N110" s="3">
        <v>1</v>
      </c>
      <c r="O110" s="7" t="s">
        <v>352</v>
      </c>
      <c r="P110" s="7" t="s">
        <v>330</v>
      </c>
      <c r="Q110" s="7" t="s">
        <v>352</v>
      </c>
      <c r="R110" s="7" t="s">
        <v>31</v>
      </c>
      <c r="S110" s="13" t="s">
        <v>352</v>
      </c>
      <c r="T110" s="3">
        <v>2</v>
      </c>
      <c r="U110" s="3">
        <v>2</v>
      </c>
      <c r="V110" s="3">
        <v>1</v>
      </c>
      <c r="W110" s="3">
        <v>2</v>
      </c>
      <c r="X110" s="3">
        <v>1</v>
      </c>
      <c r="AA110" s="13" t="s">
        <v>352</v>
      </c>
      <c r="AB110" s="3">
        <v>7.2</v>
      </c>
    </row>
    <row r="111" spans="1:28">
      <c r="A111" s="13" t="s">
        <v>352</v>
      </c>
      <c r="E111" s="13" t="s">
        <v>352</v>
      </c>
      <c r="F111" s="3">
        <v>0</v>
      </c>
      <c r="G111" s="13" t="s">
        <v>353</v>
      </c>
      <c r="H111" s="3">
        <v>1</v>
      </c>
      <c r="I111" s="13" t="s">
        <v>353</v>
      </c>
      <c r="J111" s="3">
        <v>1</v>
      </c>
      <c r="K111" s="13" t="s">
        <v>353</v>
      </c>
      <c r="L111" s="3">
        <v>1</v>
      </c>
      <c r="M111" s="13" t="s">
        <v>353</v>
      </c>
      <c r="N111" s="3">
        <v>1</v>
      </c>
      <c r="O111" s="7" t="s">
        <v>353</v>
      </c>
      <c r="P111" s="7" t="s">
        <v>259</v>
      </c>
      <c r="Q111" s="7" t="s">
        <v>353</v>
      </c>
      <c r="R111" s="7" t="s">
        <v>31</v>
      </c>
      <c r="S111" s="13" t="s">
        <v>353</v>
      </c>
      <c r="T111" s="3">
        <v>2</v>
      </c>
      <c r="U111" s="3">
        <v>2</v>
      </c>
      <c r="V111" s="3">
        <v>1</v>
      </c>
      <c r="W111" s="3">
        <v>2</v>
      </c>
      <c r="X111" s="3">
        <v>1</v>
      </c>
      <c r="AA111" s="13" t="s">
        <v>353</v>
      </c>
      <c r="AB111" s="3">
        <v>7.5</v>
      </c>
    </row>
    <row r="112" spans="1:28">
      <c r="A112" s="13" t="s">
        <v>353</v>
      </c>
      <c r="E112" s="13" t="s">
        <v>353</v>
      </c>
      <c r="F112" s="3">
        <v>0</v>
      </c>
      <c r="G112" s="13" t="s">
        <v>354</v>
      </c>
      <c r="H112" s="3">
        <v>1</v>
      </c>
      <c r="I112" s="13" t="s">
        <v>354</v>
      </c>
      <c r="J112" s="3">
        <v>1</v>
      </c>
      <c r="K112" s="13" t="s">
        <v>354</v>
      </c>
      <c r="L112" s="3">
        <v>1</v>
      </c>
      <c r="M112" s="13" t="s">
        <v>354</v>
      </c>
      <c r="N112" s="3">
        <v>1</v>
      </c>
      <c r="O112" s="7" t="s">
        <v>354</v>
      </c>
      <c r="P112" s="7" t="s">
        <v>330</v>
      </c>
      <c r="Q112" s="7" t="s">
        <v>354</v>
      </c>
      <c r="R112" s="7" t="s">
        <v>31</v>
      </c>
      <c r="S112" s="13" t="s">
        <v>354</v>
      </c>
      <c r="T112" s="3">
        <v>2</v>
      </c>
      <c r="U112" s="3">
        <v>2</v>
      </c>
      <c r="V112" s="3">
        <v>1</v>
      </c>
      <c r="W112" s="3">
        <v>2</v>
      </c>
      <c r="X112" s="3">
        <v>1</v>
      </c>
      <c r="AA112" s="13" t="s">
        <v>354</v>
      </c>
      <c r="AB112" s="3">
        <v>7.5</v>
      </c>
    </row>
    <row r="113" spans="1:28">
      <c r="A113" s="13" t="s">
        <v>354</v>
      </c>
      <c r="E113" s="13" t="s">
        <v>354</v>
      </c>
      <c r="F113" s="3">
        <v>0</v>
      </c>
      <c r="G113" s="13" t="s">
        <v>355</v>
      </c>
      <c r="H113" s="3">
        <v>1</v>
      </c>
      <c r="I113" s="13" t="s">
        <v>355</v>
      </c>
      <c r="J113" s="3">
        <v>1</v>
      </c>
      <c r="K113" s="13" t="s">
        <v>355</v>
      </c>
      <c r="L113" s="3">
        <v>1</v>
      </c>
      <c r="M113" s="13" t="s">
        <v>355</v>
      </c>
      <c r="N113" s="3">
        <v>1</v>
      </c>
      <c r="O113" s="7" t="s">
        <v>355</v>
      </c>
      <c r="P113" s="7" t="s">
        <v>259</v>
      </c>
      <c r="Q113" s="7" t="s">
        <v>355</v>
      </c>
      <c r="R113" s="7" t="s">
        <v>31</v>
      </c>
      <c r="S113" s="13" t="s">
        <v>355</v>
      </c>
      <c r="T113" s="3">
        <v>2</v>
      </c>
      <c r="U113" s="3">
        <v>2</v>
      </c>
      <c r="V113" s="3">
        <v>1</v>
      </c>
      <c r="W113" s="3">
        <v>2</v>
      </c>
      <c r="X113" s="3">
        <v>1</v>
      </c>
      <c r="AA113" s="13" t="s">
        <v>355</v>
      </c>
      <c r="AB113" s="3">
        <v>8</v>
      </c>
    </row>
    <row r="114" spans="1:28">
      <c r="A114" s="13" t="s">
        <v>355</v>
      </c>
      <c r="E114" s="13" t="s">
        <v>355</v>
      </c>
      <c r="F114" s="3">
        <v>0</v>
      </c>
      <c r="G114" s="13" t="s">
        <v>356</v>
      </c>
      <c r="H114" s="3">
        <v>1</v>
      </c>
      <c r="I114" s="13" t="s">
        <v>356</v>
      </c>
      <c r="J114" s="3">
        <v>1</v>
      </c>
      <c r="K114" s="13" t="s">
        <v>356</v>
      </c>
      <c r="L114" s="3">
        <v>1</v>
      </c>
      <c r="M114" s="13" t="s">
        <v>356</v>
      </c>
      <c r="N114" s="3">
        <v>1</v>
      </c>
      <c r="O114" s="7" t="s">
        <v>356</v>
      </c>
      <c r="P114" s="7" t="s">
        <v>237</v>
      </c>
      <c r="Q114" s="7" t="s">
        <v>356</v>
      </c>
      <c r="R114" s="7" t="s">
        <v>31</v>
      </c>
      <c r="S114" s="13" t="s">
        <v>356</v>
      </c>
      <c r="T114" s="3">
        <v>-1</v>
      </c>
      <c r="U114" s="3">
        <v>-1</v>
      </c>
      <c r="V114" s="3">
        <v>-1</v>
      </c>
      <c r="W114" s="3">
        <v>1</v>
      </c>
      <c r="X114" s="3">
        <v>-1</v>
      </c>
      <c r="AA114" s="13" t="s">
        <v>356</v>
      </c>
      <c r="AB114" s="3">
        <v>6.5</v>
      </c>
    </row>
    <row r="115" spans="1:28">
      <c r="A115" s="13" t="s">
        <v>356</v>
      </c>
      <c r="E115" s="13" t="s">
        <v>356</v>
      </c>
      <c r="F115" s="3">
        <v>0</v>
      </c>
      <c r="G115" s="13" t="s">
        <v>357</v>
      </c>
      <c r="H115" s="3">
        <v>1</v>
      </c>
      <c r="I115" s="13" t="s">
        <v>357</v>
      </c>
      <c r="J115" s="3">
        <v>1</v>
      </c>
      <c r="K115" s="13" t="s">
        <v>357</v>
      </c>
      <c r="L115" s="3">
        <v>1</v>
      </c>
      <c r="M115" s="13" t="s">
        <v>357</v>
      </c>
      <c r="N115" s="3">
        <v>1</v>
      </c>
      <c r="O115" s="7" t="s">
        <v>357</v>
      </c>
      <c r="P115" s="7" t="s">
        <v>358</v>
      </c>
      <c r="Q115" s="7" t="s">
        <v>357</v>
      </c>
      <c r="R115" s="7" t="s">
        <v>30</v>
      </c>
      <c r="S115" s="13" t="s">
        <v>357</v>
      </c>
      <c r="T115" s="3">
        <v>-1</v>
      </c>
      <c r="U115" s="3">
        <v>-1</v>
      </c>
      <c r="V115" s="3">
        <v>-1</v>
      </c>
      <c r="W115" s="3">
        <v>1</v>
      </c>
      <c r="X115" s="3">
        <v>-1</v>
      </c>
      <c r="AA115" s="13" t="s">
        <v>357</v>
      </c>
      <c r="AB115" s="3">
        <v>7</v>
      </c>
    </row>
    <row r="116" spans="1:28">
      <c r="A116" s="13" t="s">
        <v>371</v>
      </c>
      <c r="E116" s="13" t="s">
        <v>359</v>
      </c>
      <c r="F116" s="3">
        <v>0</v>
      </c>
      <c r="G116" s="13" t="s">
        <v>359</v>
      </c>
      <c r="H116" s="3">
        <v>1</v>
      </c>
      <c r="I116" s="13" t="s">
        <v>359</v>
      </c>
      <c r="J116" s="3">
        <v>1</v>
      </c>
      <c r="K116" s="13" t="s">
        <v>359</v>
      </c>
      <c r="L116" s="3">
        <v>1</v>
      </c>
      <c r="M116" s="13" t="s">
        <v>359</v>
      </c>
      <c r="N116" s="3">
        <v>1</v>
      </c>
      <c r="O116" s="7" t="s">
        <v>359</v>
      </c>
      <c r="P116" s="7" t="s">
        <v>358</v>
      </c>
      <c r="Q116" s="7" t="s">
        <v>359</v>
      </c>
      <c r="R116" s="7" t="s">
        <v>31</v>
      </c>
      <c r="S116" s="13" t="s">
        <v>359</v>
      </c>
      <c r="T116" s="3">
        <v>-1</v>
      </c>
      <c r="U116" s="3">
        <v>-1</v>
      </c>
      <c r="V116" s="3">
        <v>-1</v>
      </c>
      <c r="W116" s="3">
        <v>1</v>
      </c>
      <c r="X116" s="3">
        <v>-1</v>
      </c>
      <c r="AA116" s="13" t="s">
        <v>359</v>
      </c>
      <c r="AB116" s="3">
        <v>100</v>
      </c>
    </row>
    <row r="117" spans="1:28">
      <c r="A117" s="13" t="s">
        <v>369</v>
      </c>
      <c r="E117" s="13" t="s">
        <v>360</v>
      </c>
      <c r="F117" s="3">
        <v>0</v>
      </c>
      <c r="G117" s="13" t="s">
        <v>360</v>
      </c>
      <c r="H117" s="3">
        <v>1</v>
      </c>
      <c r="I117" s="13" t="s">
        <v>360</v>
      </c>
      <c r="J117" s="3">
        <v>1</v>
      </c>
      <c r="K117" s="13" t="s">
        <v>360</v>
      </c>
      <c r="L117" s="3">
        <v>1</v>
      </c>
      <c r="M117" s="13" t="s">
        <v>360</v>
      </c>
      <c r="N117" s="3">
        <v>1</v>
      </c>
      <c r="O117" s="7" t="s">
        <v>360</v>
      </c>
      <c r="P117" s="7" t="s">
        <v>358</v>
      </c>
      <c r="Q117" s="7" t="s">
        <v>360</v>
      </c>
      <c r="R117" s="7" t="s">
        <v>31</v>
      </c>
      <c r="S117" s="13" t="s">
        <v>360</v>
      </c>
      <c r="T117" s="3">
        <v>-1</v>
      </c>
      <c r="U117" s="3">
        <v>-1</v>
      </c>
      <c r="V117" s="3">
        <v>-1</v>
      </c>
      <c r="W117" s="3">
        <v>1</v>
      </c>
      <c r="X117" s="3">
        <v>-1</v>
      </c>
      <c r="AA117" s="13" t="s">
        <v>360</v>
      </c>
      <c r="AB117" s="3">
        <v>7</v>
      </c>
    </row>
    <row r="118" spans="1:28">
      <c r="A118" s="13" t="s">
        <v>370</v>
      </c>
      <c r="E118" s="13" t="s">
        <v>369</v>
      </c>
      <c r="F118" s="3">
        <v>0</v>
      </c>
      <c r="G118" s="13" t="s">
        <v>362</v>
      </c>
      <c r="H118" s="3">
        <v>1</v>
      </c>
      <c r="I118" s="13" t="s">
        <v>362</v>
      </c>
      <c r="J118" s="3">
        <v>1</v>
      </c>
      <c r="K118" s="13" t="s">
        <v>362</v>
      </c>
      <c r="L118" s="3">
        <v>1</v>
      </c>
      <c r="M118" s="13" t="s">
        <v>362</v>
      </c>
      <c r="N118" s="3">
        <v>1</v>
      </c>
      <c r="O118" s="7" t="s">
        <v>362</v>
      </c>
      <c r="P118" s="7" t="s">
        <v>363</v>
      </c>
      <c r="Q118" s="7" t="s">
        <v>362</v>
      </c>
      <c r="R118" s="7" t="s">
        <v>31</v>
      </c>
      <c r="S118" s="13" t="s">
        <v>362</v>
      </c>
      <c r="T118" s="3">
        <v>-1</v>
      </c>
      <c r="U118" s="3">
        <v>-1</v>
      </c>
      <c r="V118" s="3">
        <v>-1</v>
      </c>
      <c r="W118" s="3">
        <v>1</v>
      </c>
      <c r="X118" s="3">
        <v>-1</v>
      </c>
      <c r="AA118" s="13" t="s">
        <v>362</v>
      </c>
      <c r="AB118" s="3">
        <v>100</v>
      </c>
    </row>
    <row r="119" spans="1:28">
      <c r="A119" s="13" t="s">
        <v>372</v>
      </c>
      <c r="E119" s="13" t="s">
        <v>370</v>
      </c>
      <c r="F119" s="3">
        <v>0</v>
      </c>
      <c r="G119" s="13" t="s">
        <v>364</v>
      </c>
      <c r="H119" s="3">
        <v>1</v>
      </c>
      <c r="I119" s="13" t="s">
        <v>364</v>
      </c>
      <c r="J119" s="3">
        <v>1</v>
      </c>
      <c r="K119" s="13" t="s">
        <v>364</v>
      </c>
      <c r="L119" s="3">
        <v>1</v>
      </c>
      <c r="M119" s="13" t="s">
        <v>364</v>
      </c>
      <c r="N119" s="3">
        <v>1</v>
      </c>
      <c r="O119" s="7" t="s">
        <v>364</v>
      </c>
      <c r="P119" s="7" t="s">
        <v>363</v>
      </c>
      <c r="Q119" s="7" t="s">
        <v>364</v>
      </c>
      <c r="R119" s="7" t="s">
        <v>31</v>
      </c>
      <c r="S119" s="13" t="s">
        <v>364</v>
      </c>
      <c r="T119" s="3">
        <v>-1</v>
      </c>
      <c r="U119" s="3">
        <v>-1</v>
      </c>
      <c r="V119" s="3">
        <v>-1</v>
      </c>
      <c r="W119" s="3">
        <v>1</v>
      </c>
      <c r="X119" s="3">
        <v>-1</v>
      </c>
      <c r="AA119" s="13" t="s">
        <v>364</v>
      </c>
      <c r="AB119" s="3">
        <v>7</v>
      </c>
    </row>
    <row r="120" spans="1:28">
      <c r="A120" s="13" t="s">
        <v>359</v>
      </c>
      <c r="E120" s="13" t="s">
        <v>371</v>
      </c>
      <c r="F120" s="3">
        <v>0</v>
      </c>
      <c r="G120" s="13" t="s">
        <v>365</v>
      </c>
      <c r="H120" s="3">
        <v>1</v>
      </c>
      <c r="I120" s="13" t="s">
        <v>365</v>
      </c>
      <c r="J120" s="3">
        <v>1</v>
      </c>
      <c r="K120" s="13" t="s">
        <v>365</v>
      </c>
      <c r="L120" s="3">
        <v>1</v>
      </c>
      <c r="M120" s="13" t="s">
        <v>365</v>
      </c>
      <c r="N120" s="3">
        <v>1</v>
      </c>
      <c r="O120" s="7" t="s">
        <v>365</v>
      </c>
      <c r="P120" s="7" t="s">
        <v>361</v>
      </c>
      <c r="Q120" s="7" t="s">
        <v>365</v>
      </c>
      <c r="R120" s="7" t="s">
        <v>31</v>
      </c>
      <c r="S120" s="13" t="s">
        <v>365</v>
      </c>
      <c r="T120" s="3">
        <v>2</v>
      </c>
      <c r="U120" s="3">
        <v>2</v>
      </c>
      <c r="V120" s="3">
        <v>1</v>
      </c>
      <c r="W120" s="3">
        <v>2</v>
      </c>
      <c r="X120" s="3">
        <v>1</v>
      </c>
      <c r="AA120" s="13" t="s">
        <v>365</v>
      </c>
      <c r="AB120" s="3">
        <v>7.5</v>
      </c>
    </row>
    <row r="121" spans="1:28">
      <c r="A121" s="13" t="s">
        <v>360</v>
      </c>
      <c r="E121" s="13" t="s">
        <v>372</v>
      </c>
      <c r="F121" s="3">
        <v>0</v>
      </c>
      <c r="G121" s="13" t="s">
        <v>366</v>
      </c>
      <c r="H121" s="3">
        <v>1</v>
      </c>
      <c r="I121" s="13" t="s">
        <v>366</v>
      </c>
      <c r="J121" s="3">
        <v>1</v>
      </c>
      <c r="K121" s="13" t="s">
        <v>366</v>
      </c>
      <c r="L121" s="3">
        <v>1</v>
      </c>
      <c r="M121" s="13" t="s">
        <v>366</v>
      </c>
      <c r="N121" s="3">
        <v>1</v>
      </c>
      <c r="O121" s="7" t="s">
        <v>366</v>
      </c>
      <c r="P121" s="7" t="s">
        <v>361</v>
      </c>
      <c r="Q121" s="7" t="s">
        <v>366</v>
      </c>
      <c r="R121" s="7" t="s">
        <v>31</v>
      </c>
      <c r="S121" s="13" t="s">
        <v>366</v>
      </c>
      <c r="T121" s="3">
        <v>2</v>
      </c>
      <c r="U121" s="3">
        <v>2</v>
      </c>
      <c r="V121" s="3">
        <v>1</v>
      </c>
      <c r="W121" s="3">
        <v>2</v>
      </c>
      <c r="X121" s="3">
        <v>1</v>
      </c>
      <c r="AA121" s="13" t="s">
        <v>366</v>
      </c>
      <c r="AB121" s="3">
        <v>7.2</v>
      </c>
    </row>
    <row r="122" spans="1:28">
      <c r="A122" s="13" t="s">
        <v>374</v>
      </c>
      <c r="E122" s="13" t="s">
        <v>374</v>
      </c>
      <c r="F122" s="3">
        <v>0</v>
      </c>
      <c r="G122" s="13" t="s">
        <v>367</v>
      </c>
      <c r="H122" s="3">
        <v>1</v>
      </c>
      <c r="I122" s="13" t="s">
        <v>367</v>
      </c>
      <c r="J122" s="3">
        <v>1</v>
      </c>
      <c r="K122" s="13" t="s">
        <v>367</v>
      </c>
      <c r="L122" s="3">
        <v>1</v>
      </c>
      <c r="M122" s="13" t="s">
        <v>367</v>
      </c>
      <c r="N122" s="3">
        <v>1</v>
      </c>
      <c r="O122" s="7" t="s">
        <v>367</v>
      </c>
      <c r="P122" s="7" t="s">
        <v>361</v>
      </c>
      <c r="Q122" s="7" t="s">
        <v>367</v>
      </c>
      <c r="R122" s="7" t="s">
        <v>31</v>
      </c>
      <c r="S122" s="13" t="s">
        <v>367</v>
      </c>
      <c r="T122" s="3">
        <v>2</v>
      </c>
      <c r="U122" s="3">
        <v>2</v>
      </c>
      <c r="V122" s="3">
        <v>1</v>
      </c>
      <c r="W122" s="3">
        <v>2</v>
      </c>
      <c r="X122" s="3">
        <v>1</v>
      </c>
      <c r="AA122" s="13" t="s">
        <v>367</v>
      </c>
      <c r="AB122" s="3">
        <v>7</v>
      </c>
    </row>
    <row r="123" spans="1:28">
      <c r="A123" s="13" t="s">
        <v>376</v>
      </c>
      <c r="E123" s="13" t="s">
        <v>376</v>
      </c>
      <c r="F123" s="3">
        <v>0</v>
      </c>
      <c r="G123" s="13" t="s">
        <v>368</v>
      </c>
      <c r="H123" s="3">
        <v>1</v>
      </c>
      <c r="I123" s="13" t="s">
        <v>368</v>
      </c>
      <c r="J123" s="3">
        <v>1</v>
      </c>
      <c r="K123" s="13" t="s">
        <v>368</v>
      </c>
      <c r="L123" s="3">
        <v>1</v>
      </c>
      <c r="M123" s="13" t="s">
        <v>368</v>
      </c>
      <c r="N123" s="3">
        <v>1</v>
      </c>
      <c r="O123" s="7" t="s">
        <v>368</v>
      </c>
      <c r="P123" s="7" t="s">
        <v>361</v>
      </c>
      <c r="Q123" s="7" t="s">
        <v>368</v>
      </c>
      <c r="R123" s="7" t="s">
        <v>31</v>
      </c>
      <c r="S123" s="13" t="s">
        <v>368</v>
      </c>
      <c r="T123" s="3">
        <v>2</v>
      </c>
      <c r="U123" s="3">
        <v>2</v>
      </c>
      <c r="V123" s="3">
        <v>1</v>
      </c>
      <c r="W123" s="3">
        <v>2</v>
      </c>
      <c r="X123" s="3">
        <v>1</v>
      </c>
      <c r="AA123" s="13" t="s">
        <v>368</v>
      </c>
      <c r="AB123" s="3">
        <v>6.5</v>
      </c>
    </row>
    <row r="124" spans="1:28">
      <c r="A124" s="13" t="s">
        <v>377</v>
      </c>
      <c r="E124" s="13" t="s">
        <v>377</v>
      </c>
      <c r="F124" s="3">
        <v>0</v>
      </c>
      <c r="G124" s="13" t="s">
        <v>369</v>
      </c>
      <c r="H124" s="3">
        <v>1</v>
      </c>
      <c r="I124" s="13" t="s">
        <v>369</v>
      </c>
      <c r="J124" s="3">
        <v>1</v>
      </c>
      <c r="K124" s="13" t="s">
        <v>369</v>
      </c>
      <c r="L124" s="3">
        <v>1</v>
      </c>
      <c r="M124" s="13" t="s">
        <v>369</v>
      </c>
      <c r="N124" s="3">
        <v>1</v>
      </c>
      <c r="O124" s="7" t="s">
        <v>369</v>
      </c>
      <c r="P124" s="7" t="s">
        <v>363</v>
      </c>
      <c r="Q124" s="7" t="s">
        <v>369</v>
      </c>
      <c r="R124" s="7" t="s">
        <v>30</v>
      </c>
      <c r="S124" s="13" t="s">
        <v>369</v>
      </c>
      <c r="T124" s="3">
        <v>-1</v>
      </c>
      <c r="U124" s="3">
        <v>-1</v>
      </c>
      <c r="V124" s="3">
        <v>-1</v>
      </c>
      <c r="W124" s="3">
        <v>1</v>
      </c>
      <c r="X124" s="3">
        <v>-1</v>
      </c>
      <c r="AA124" s="13" t="s">
        <v>369</v>
      </c>
      <c r="AB124" s="3">
        <v>7</v>
      </c>
    </row>
    <row r="125" spans="1:28">
      <c r="A125" s="13" t="s">
        <v>362</v>
      </c>
      <c r="E125" s="13" t="s">
        <v>362</v>
      </c>
      <c r="F125" s="3">
        <v>0</v>
      </c>
      <c r="G125" s="13" t="s">
        <v>370</v>
      </c>
      <c r="H125" s="3">
        <v>1</v>
      </c>
      <c r="I125" s="13" t="s">
        <v>370</v>
      </c>
      <c r="J125" s="3">
        <v>1</v>
      </c>
      <c r="K125" s="13" t="s">
        <v>370</v>
      </c>
      <c r="L125" s="3">
        <v>1</v>
      </c>
      <c r="M125" s="13" t="s">
        <v>370</v>
      </c>
      <c r="N125" s="3">
        <v>1</v>
      </c>
      <c r="O125" s="7" t="s">
        <v>370</v>
      </c>
      <c r="P125" s="7" t="s">
        <v>361</v>
      </c>
      <c r="Q125" s="7" t="s">
        <v>370</v>
      </c>
      <c r="R125" s="7" t="s">
        <v>30</v>
      </c>
      <c r="S125" s="13" t="s">
        <v>370</v>
      </c>
      <c r="T125" s="3">
        <v>2</v>
      </c>
      <c r="U125" s="3">
        <v>2</v>
      </c>
      <c r="V125" s="3">
        <v>1</v>
      </c>
      <c r="W125" s="3">
        <v>2</v>
      </c>
      <c r="X125" s="3">
        <v>1</v>
      </c>
      <c r="AA125" s="13" t="s">
        <v>370</v>
      </c>
      <c r="AB125" s="3">
        <v>7.5</v>
      </c>
    </row>
    <row r="126" spans="1:28">
      <c r="A126" s="13" t="s">
        <v>364</v>
      </c>
      <c r="E126" s="13" t="s">
        <v>364</v>
      </c>
      <c r="F126" s="3">
        <v>0</v>
      </c>
      <c r="G126" s="13" t="s">
        <v>371</v>
      </c>
      <c r="H126" s="3">
        <v>1</v>
      </c>
      <c r="I126" s="13" t="s">
        <v>371</v>
      </c>
      <c r="J126" s="3">
        <v>1</v>
      </c>
      <c r="K126" s="13" t="s">
        <v>371</v>
      </c>
      <c r="L126" s="3">
        <v>1</v>
      </c>
      <c r="M126" s="13" t="s">
        <v>371</v>
      </c>
      <c r="N126" s="3">
        <v>1</v>
      </c>
      <c r="O126" s="7" t="s">
        <v>371</v>
      </c>
      <c r="P126" s="7" t="s">
        <v>361</v>
      </c>
      <c r="Q126" s="7" t="s">
        <v>371</v>
      </c>
      <c r="R126" s="7" t="s">
        <v>30</v>
      </c>
      <c r="S126" s="13" t="s">
        <v>371</v>
      </c>
      <c r="T126" s="3">
        <v>2</v>
      </c>
      <c r="U126" s="3">
        <v>2</v>
      </c>
      <c r="V126" s="3">
        <v>1</v>
      </c>
      <c r="W126" s="3">
        <v>2</v>
      </c>
      <c r="X126" s="3">
        <v>1</v>
      </c>
      <c r="AA126" s="13" t="s">
        <v>371</v>
      </c>
      <c r="AB126" s="3">
        <v>7</v>
      </c>
    </row>
    <row r="127" spans="1:28">
      <c r="A127" s="13" t="s">
        <v>365</v>
      </c>
      <c r="E127" s="13" t="s">
        <v>365</v>
      </c>
      <c r="F127" s="3">
        <v>0</v>
      </c>
      <c r="G127" s="13" t="s">
        <v>372</v>
      </c>
      <c r="H127" s="3">
        <v>1</v>
      </c>
      <c r="I127" s="13" t="s">
        <v>372</v>
      </c>
      <c r="J127" s="3">
        <v>1</v>
      </c>
      <c r="K127" s="13" t="s">
        <v>372</v>
      </c>
      <c r="L127" s="3">
        <v>1</v>
      </c>
      <c r="M127" s="13" t="s">
        <v>372</v>
      </c>
      <c r="N127" s="3">
        <v>1</v>
      </c>
      <c r="O127" s="7" t="s">
        <v>372</v>
      </c>
      <c r="P127" s="7" t="s">
        <v>361</v>
      </c>
      <c r="Q127" s="7" t="s">
        <v>372</v>
      </c>
      <c r="R127" s="7" t="s">
        <v>30</v>
      </c>
      <c r="S127" s="13" t="s">
        <v>372</v>
      </c>
      <c r="T127" s="3">
        <v>2</v>
      </c>
      <c r="U127" s="3">
        <v>2</v>
      </c>
      <c r="V127" s="3">
        <v>1</v>
      </c>
      <c r="W127" s="3">
        <v>2</v>
      </c>
      <c r="X127" s="3">
        <v>1</v>
      </c>
      <c r="AA127" s="13" t="s">
        <v>372</v>
      </c>
      <c r="AB127" s="3">
        <v>6.5</v>
      </c>
    </row>
    <row r="128" spans="1:28">
      <c r="A128" s="13" t="s">
        <v>366</v>
      </c>
      <c r="E128" s="13" t="s">
        <v>366</v>
      </c>
      <c r="F128" s="3">
        <v>0</v>
      </c>
      <c r="G128" s="13" t="s">
        <v>373</v>
      </c>
      <c r="H128" s="3">
        <v>1</v>
      </c>
      <c r="I128" s="13" t="s">
        <v>373</v>
      </c>
      <c r="J128" s="3">
        <v>1</v>
      </c>
      <c r="K128" s="13" t="s">
        <v>373</v>
      </c>
      <c r="L128" s="3">
        <v>1</v>
      </c>
      <c r="M128" s="13" t="s">
        <v>373</v>
      </c>
      <c r="N128" s="3">
        <v>1</v>
      </c>
      <c r="O128" s="7" t="s">
        <v>373</v>
      </c>
      <c r="P128" s="7" t="s">
        <v>361</v>
      </c>
      <c r="Q128" s="7" t="s">
        <v>373</v>
      </c>
      <c r="R128" s="7" t="s">
        <v>31</v>
      </c>
      <c r="S128" s="13" t="s">
        <v>373</v>
      </c>
      <c r="T128" s="3">
        <v>2</v>
      </c>
      <c r="U128" s="3">
        <v>2</v>
      </c>
      <c r="V128" s="3">
        <v>1</v>
      </c>
      <c r="W128" s="3">
        <v>2</v>
      </c>
      <c r="X128" s="3">
        <v>1</v>
      </c>
      <c r="AA128" s="13" t="s">
        <v>373</v>
      </c>
      <c r="AB128" s="3">
        <v>100</v>
      </c>
    </row>
    <row r="129" spans="1:28">
      <c r="A129" s="13" t="s">
        <v>367</v>
      </c>
      <c r="E129" s="13" t="s">
        <v>367</v>
      </c>
      <c r="F129" s="3">
        <v>0</v>
      </c>
      <c r="G129" s="13" t="s">
        <v>374</v>
      </c>
      <c r="H129" s="3">
        <v>1</v>
      </c>
      <c r="I129" s="13" t="s">
        <v>374</v>
      </c>
      <c r="J129" s="3">
        <v>1</v>
      </c>
      <c r="K129" s="13" t="s">
        <v>374</v>
      </c>
      <c r="L129" s="3">
        <v>1</v>
      </c>
      <c r="M129" s="13" t="s">
        <v>374</v>
      </c>
      <c r="N129" s="3">
        <v>1</v>
      </c>
      <c r="O129" s="7" t="s">
        <v>374</v>
      </c>
      <c r="P129" s="7" t="s">
        <v>361</v>
      </c>
      <c r="Q129" s="7" t="s">
        <v>374</v>
      </c>
      <c r="R129" s="7" t="s">
        <v>30</v>
      </c>
      <c r="S129" s="13" t="s">
        <v>374</v>
      </c>
      <c r="T129" s="3">
        <v>2</v>
      </c>
      <c r="U129" s="3">
        <v>2</v>
      </c>
      <c r="V129" s="3">
        <v>1</v>
      </c>
      <c r="W129" s="3">
        <v>2</v>
      </c>
      <c r="X129" s="3">
        <v>1</v>
      </c>
      <c r="AA129" s="13" t="s">
        <v>374</v>
      </c>
      <c r="AB129" s="3">
        <v>100</v>
      </c>
    </row>
    <row r="130" spans="1:28">
      <c r="A130" s="13" t="s">
        <v>368</v>
      </c>
      <c r="E130" s="13" t="s">
        <v>368</v>
      </c>
      <c r="F130" s="3">
        <v>0</v>
      </c>
      <c r="G130" s="13" t="s">
        <v>375</v>
      </c>
      <c r="H130" s="3">
        <v>1</v>
      </c>
      <c r="I130" s="13" t="s">
        <v>375</v>
      </c>
      <c r="J130" s="3">
        <v>1</v>
      </c>
      <c r="K130" s="13" t="s">
        <v>375</v>
      </c>
      <c r="L130" s="3">
        <v>1</v>
      </c>
      <c r="M130" s="13" t="s">
        <v>375</v>
      </c>
      <c r="N130" s="3">
        <v>1</v>
      </c>
      <c r="O130" s="7" t="s">
        <v>375</v>
      </c>
      <c r="P130" s="7" t="s">
        <v>332</v>
      </c>
      <c r="Q130" s="7" t="s">
        <v>375</v>
      </c>
      <c r="R130" s="7" t="s">
        <v>31</v>
      </c>
      <c r="S130" s="13" t="s">
        <v>375</v>
      </c>
      <c r="T130" s="3">
        <v>2</v>
      </c>
      <c r="U130" s="3">
        <v>2</v>
      </c>
      <c r="V130" s="3">
        <v>1</v>
      </c>
      <c r="W130" s="3">
        <v>2</v>
      </c>
      <c r="X130" s="3">
        <v>1</v>
      </c>
      <c r="AA130" s="13" t="s">
        <v>375</v>
      </c>
      <c r="AB130" s="3">
        <v>100</v>
      </c>
    </row>
    <row r="131" spans="1:28">
      <c r="A131" s="13" t="s">
        <v>373</v>
      </c>
      <c r="E131" s="13" t="s">
        <v>373</v>
      </c>
      <c r="F131" s="3">
        <v>0</v>
      </c>
      <c r="G131" s="13" t="s">
        <v>376</v>
      </c>
      <c r="H131" s="3">
        <v>1</v>
      </c>
      <c r="I131" s="13" t="s">
        <v>376</v>
      </c>
      <c r="J131" s="3">
        <v>1</v>
      </c>
      <c r="K131" s="13" t="s">
        <v>376</v>
      </c>
      <c r="L131" s="3">
        <v>1</v>
      </c>
      <c r="M131" s="13" t="s">
        <v>376</v>
      </c>
      <c r="N131" s="3">
        <v>1</v>
      </c>
      <c r="O131" s="7" t="s">
        <v>376</v>
      </c>
      <c r="P131" s="7" t="s">
        <v>332</v>
      </c>
      <c r="Q131" s="7" t="s">
        <v>376</v>
      </c>
      <c r="R131" s="7" t="s">
        <v>30</v>
      </c>
      <c r="S131" s="13" t="s">
        <v>376</v>
      </c>
      <c r="T131" s="3">
        <v>2</v>
      </c>
      <c r="U131" s="3">
        <v>2</v>
      </c>
      <c r="V131" s="3">
        <v>1</v>
      </c>
      <c r="W131" s="3">
        <v>2</v>
      </c>
      <c r="X131" s="3">
        <v>1</v>
      </c>
      <c r="AA131" s="13" t="s">
        <v>376</v>
      </c>
      <c r="AB131" s="3">
        <v>100</v>
      </c>
    </row>
    <row r="132" spans="1:28">
      <c r="A132" s="13" t="s">
        <v>375</v>
      </c>
      <c r="E132" s="13" t="s">
        <v>375</v>
      </c>
      <c r="F132" s="3">
        <v>0</v>
      </c>
      <c r="G132" s="13" t="s">
        <v>377</v>
      </c>
      <c r="H132" s="3">
        <v>1</v>
      </c>
      <c r="I132" s="13" t="s">
        <v>377</v>
      </c>
      <c r="J132" s="3">
        <v>1</v>
      </c>
      <c r="K132" s="13" t="s">
        <v>377</v>
      </c>
      <c r="L132" s="3">
        <v>1</v>
      </c>
      <c r="M132" s="13" t="s">
        <v>377</v>
      </c>
      <c r="N132" s="3">
        <v>1</v>
      </c>
      <c r="O132" s="7" t="s">
        <v>377</v>
      </c>
      <c r="P132" s="7" t="s">
        <v>378</v>
      </c>
      <c r="Q132" s="7" t="s">
        <v>377</v>
      </c>
      <c r="R132" s="7" t="s">
        <v>30</v>
      </c>
      <c r="S132" s="13" t="s">
        <v>377</v>
      </c>
      <c r="T132" s="3">
        <v>-1</v>
      </c>
      <c r="U132" s="3">
        <v>-1</v>
      </c>
      <c r="V132" s="3">
        <v>-1</v>
      </c>
      <c r="W132" s="3">
        <v>1</v>
      </c>
      <c r="X132" s="3">
        <v>-1</v>
      </c>
      <c r="AA132" s="13" t="s">
        <v>377</v>
      </c>
      <c r="AB132" s="3">
        <v>100</v>
      </c>
    </row>
    <row r="133" spans="1:28">
      <c r="A133" s="13" t="s">
        <v>379</v>
      </c>
      <c r="E133" s="13" t="s">
        <v>379</v>
      </c>
      <c r="F133" s="3">
        <v>0</v>
      </c>
      <c r="G133" s="13" t="s">
        <v>379</v>
      </c>
      <c r="H133" s="3">
        <v>1</v>
      </c>
      <c r="I133" s="13" t="s">
        <v>379</v>
      </c>
      <c r="J133" s="3">
        <v>1</v>
      </c>
      <c r="K133" s="13" t="s">
        <v>379</v>
      </c>
      <c r="L133" s="3">
        <v>1</v>
      </c>
      <c r="M133" s="13" t="s">
        <v>379</v>
      </c>
      <c r="N133" s="3">
        <v>1</v>
      </c>
      <c r="O133" s="7" t="s">
        <v>379</v>
      </c>
      <c r="P133" s="7" t="s">
        <v>378</v>
      </c>
      <c r="Q133" s="7" t="s">
        <v>379</v>
      </c>
      <c r="R133" s="7" t="s">
        <v>31</v>
      </c>
      <c r="S133" s="13" t="s">
        <v>379</v>
      </c>
      <c r="T133" s="3">
        <v>-1</v>
      </c>
      <c r="U133" s="3">
        <v>-1</v>
      </c>
      <c r="V133" s="3">
        <v>-1</v>
      </c>
      <c r="W133" s="3">
        <v>1</v>
      </c>
      <c r="X133" s="3">
        <v>-1</v>
      </c>
      <c r="AA133" s="13" t="s">
        <v>379</v>
      </c>
      <c r="AB133" s="3">
        <v>100</v>
      </c>
    </row>
    <row r="134" spans="1:28">
      <c r="A134" s="13" t="s">
        <v>381</v>
      </c>
      <c r="E134" s="13" t="s">
        <v>381</v>
      </c>
      <c r="F134" s="3">
        <v>1</v>
      </c>
      <c r="G134" s="13" t="s">
        <v>381</v>
      </c>
      <c r="H134" s="3">
        <v>0</v>
      </c>
      <c r="I134" s="13" t="s">
        <v>381</v>
      </c>
      <c r="J134" s="3">
        <v>0</v>
      </c>
      <c r="K134" s="13" t="s">
        <v>381</v>
      </c>
      <c r="L134" s="3">
        <v>1</v>
      </c>
      <c r="M134" s="13" t="s">
        <v>381</v>
      </c>
      <c r="N134" s="3">
        <v>1</v>
      </c>
      <c r="O134" s="7" t="s">
        <v>381</v>
      </c>
      <c r="P134" s="7" t="s">
        <v>237</v>
      </c>
      <c r="Q134" s="7" t="s">
        <v>381</v>
      </c>
      <c r="R134" s="7" t="s">
        <v>30</v>
      </c>
      <c r="S134" s="13" t="s">
        <v>381</v>
      </c>
      <c r="T134" s="3">
        <v>-1</v>
      </c>
      <c r="U134" s="3">
        <v>-1</v>
      </c>
      <c r="V134" s="3">
        <v>-1</v>
      </c>
      <c r="W134" s="3">
        <v>1</v>
      </c>
      <c r="X134" s="3">
        <v>-1</v>
      </c>
      <c r="AA134" s="13" t="s">
        <v>381</v>
      </c>
      <c r="AB134" s="3">
        <v>99</v>
      </c>
    </row>
    <row r="135" spans="1:28">
      <c r="A135" s="13" t="s">
        <v>382</v>
      </c>
      <c r="E135" s="13" t="s">
        <v>382</v>
      </c>
      <c r="F135" s="3">
        <v>1</v>
      </c>
      <c r="G135" s="13" t="s">
        <v>382</v>
      </c>
      <c r="H135" s="3">
        <v>0</v>
      </c>
      <c r="I135" s="13" t="s">
        <v>382</v>
      </c>
      <c r="J135" s="3">
        <v>0</v>
      </c>
      <c r="K135" s="13" t="s">
        <v>382</v>
      </c>
      <c r="L135" s="3">
        <v>1</v>
      </c>
      <c r="M135" s="13" t="s">
        <v>382</v>
      </c>
      <c r="N135" s="3">
        <v>1</v>
      </c>
      <c r="O135" s="7" t="s">
        <v>382</v>
      </c>
      <c r="P135" s="7" t="s">
        <v>383</v>
      </c>
      <c r="Q135" s="7" t="s">
        <v>382</v>
      </c>
      <c r="R135" s="7" t="s">
        <v>30</v>
      </c>
      <c r="S135" s="13" t="s">
        <v>382</v>
      </c>
      <c r="T135" s="3">
        <v>-1</v>
      </c>
      <c r="U135" s="3">
        <v>-1</v>
      </c>
      <c r="V135" s="3">
        <v>-1</v>
      </c>
      <c r="W135" s="3">
        <v>1</v>
      </c>
      <c r="X135" s="3">
        <v>-1</v>
      </c>
      <c r="AA135" s="13" t="s">
        <v>382</v>
      </c>
      <c r="AB135" s="3">
        <v>99</v>
      </c>
    </row>
    <row r="136" spans="1:28">
      <c r="A136" s="13" t="s">
        <v>384</v>
      </c>
      <c r="E136" s="13" t="s">
        <v>384</v>
      </c>
      <c r="F136" s="3">
        <v>1</v>
      </c>
      <c r="G136" s="13" t="s">
        <v>384</v>
      </c>
      <c r="H136" s="3">
        <v>1</v>
      </c>
      <c r="I136" s="13" t="s">
        <v>384</v>
      </c>
      <c r="J136" s="3">
        <v>1</v>
      </c>
      <c r="K136" s="13" t="s">
        <v>384</v>
      </c>
      <c r="L136" s="3">
        <v>1</v>
      </c>
      <c r="M136" s="13" t="s">
        <v>384</v>
      </c>
      <c r="N136" s="3">
        <v>1</v>
      </c>
      <c r="O136" s="7" t="s">
        <v>384</v>
      </c>
      <c r="P136" s="7" t="s">
        <v>237</v>
      </c>
      <c r="Q136" s="7" t="s">
        <v>384</v>
      </c>
      <c r="R136" s="7" t="s">
        <v>30</v>
      </c>
      <c r="S136" s="13" t="s">
        <v>384</v>
      </c>
      <c r="T136" s="3">
        <v>-1</v>
      </c>
      <c r="U136" s="3">
        <v>-1</v>
      </c>
      <c r="V136" s="3">
        <v>-1</v>
      </c>
      <c r="W136" s="3">
        <v>1</v>
      </c>
      <c r="X136" s="3">
        <v>-1</v>
      </c>
      <c r="AA136" s="13" t="s">
        <v>384</v>
      </c>
      <c r="AB136" s="3">
        <v>99</v>
      </c>
    </row>
    <row r="137" spans="1:28">
      <c r="A137" s="13" t="s">
        <v>385</v>
      </c>
      <c r="E137" s="13" t="s">
        <v>385</v>
      </c>
      <c r="F137" s="3">
        <v>1</v>
      </c>
      <c r="G137" s="13" t="s">
        <v>385</v>
      </c>
      <c r="H137" s="3">
        <v>1</v>
      </c>
      <c r="I137" s="13" t="s">
        <v>385</v>
      </c>
      <c r="J137" s="3">
        <v>1</v>
      </c>
      <c r="K137" s="13" t="s">
        <v>385</v>
      </c>
      <c r="L137" s="3">
        <v>1</v>
      </c>
      <c r="M137" s="13" t="s">
        <v>385</v>
      </c>
      <c r="N137" s="3">
        <v>1</v>
      </c>
      <c r="O137" s="7" t="s">
        <v>385</v>
      </c>
      <c r="P137" s="7" t="s">
        <v>383</v>
      </c>
      <c r="Q137" s="7" t="s">
        <v>385</v>
      </c>
      <c r="R137" s="7" t="s">
        <v>30</v>
      </c>
      <c r="S137" s="13" t="s">
        <v>385</v>
      </c>
      <c r="T137" s="3">
        <v>-1</v>
      </c>
      <c r="U137" s="3">
        <v>-1</v>
      </c>
      <c r="V137" s="3">
        <v>-1</v>
      </c>
      <c r="W137" s="3">
        <v>1</v>
      </c>
      <c r="X137" s="3">
        <v>-1</v>
      </c>
      <c r="AA137" s="13" t="s">
        <v>385</v>
      </c>
      <c r="AB137" s="3">
        <v>99</v>
      </c>
    </row>
    <row r="138" spans="1:28">
      <c r="A138" s="13" t="s">
        <v>386</v>
      </c>
      <c r="E138" s="13" t="s">
        <v>386</v>
      </c>
      <c r="F138" s="3">
        <v>0</v>
      </c>
      <c r="G138" s="13" t="s">
        <v>386</v>
      </c>
      <c r="H138" s="3">
        <v>1</v>
      </c>
      <c r="I138" s="13" t="s">
        <v>386</v>
      </c>
      <c r="J138" s="3">
        <v>0</v>
      </c>
      <c r="K138" s="13" t="s">
        <v>386</v>
      </c>
      <c r="L138" s="3">
        <v>1</v>
      </c>
      <c r="M138" s="13" t="s">
        <v>386</v>
      </c>
      <c r="N138" s="3">
        <v>1</v>
      </c>
      <c r="O138" s="7" t="s">
        <v>386</v>
      </c>
      <c r="P138" s="7" t="s">
        <v>383</v>
      </c>
      <c r="Q138" s="7" t="s">
        <v>386</v>
      </c>
      <c r="R138" s="7" t="s">
        <v>30</v>
      </c>
      <c r="S138" s="13" t="s">
        <v>386</v>
      </c>
      <c r="T138" s="3">
        <v>-1</v>
      </c>
      <c r="U138" s="3">
        <v>-1</v>
      </c>
      <c r="V138" s="3">
        <v>-1</v>
      </c>
      <c r="W138" s="3">
        <v>1</v>
      </c>
      <c r="X138" s="3">
        <v>-1</v>
      </c>
      <c r="AA138" s="13" t="s">
        <v>386</v>
      </c>
      <c r="AB138" s="3">
        <v>7</v>
      </c>
    </row>
    <row r="139" spans="1:28">
      <c r="A139" s="13" t="s">
        <v>387</v>
      </c>
      <c r="E139" s="13" t="s">
        <v>387</v>
      </c>
      <c r="F139" s="3">
        <v>0</v>
      </c>
      <c r="G139" s="13" t="s">
        <v>387</v>
      </c>
      <c r="H139" s="3">
        <v>1</v>
      </c>
      <c r="I139" s="13" t="s">
        <v>387</v>
      </c>
      <c r="J139" s="3">
        <v>0</v>
      </c>
      <c r="K139" s="13" t="s">
        <v>387</v>
      </c>
      <c r="L139" s="3">
        <v>1</v>
      </c>
      <c r="M139" s="13" t="s">
        <v>387</v>
      </c>
      <c r="N139" s="3">
        <v>1</v>
      </c>
      <c r="O139" s="7" t="s">
        <v>387</v>
      </c>
      <c r="P139" s="7" t="s">
        <v>237</v>
      </c>
      <c r="Q139" s="7" t="s">
        <v>387</v>
      </c>
      <c r="R139" s="7" t="s">
        <v>30</v>
      </c>
      <c r="S139" s="13" t="s">
        <v>387</v>
      </c>
      <c r="T139" s="3">
        <v>-1</v>
      </c>
      <c r="U139" s="3">
        <v>-1</v>
      </c>
      <c r="V139" s="3">
        <v>-1</v>
      </c>
      <c r="W139" s="3">
        <v>1</v>
      </c>
      <c r="X139" s="3">
        <v>-1</v>
      </c>
      <c r="AA139" s="13" t="s">
        <v>387</v>
      </c>
      <c r="AB139" s="3">
        <v>7</v>
      </c>
    </row>
    <row r="140" spans="1:28">
      <c r="A140" s="13" t="s">
        <v>388</v>
      </c>
      <c r="E140" s="13" t="s">
        <v>388</v>
      </c>
      <c r="F140" s="3">
        <v>1</v>
      </c>
      <c r="G140" s="13" t="s">
        <v>388</v>
      </c>
      <c r="H140" s="3">
        <v>0</v>
      </c>
      <c r="I140" s="13" t="s">
        <v>388</v>
      </c>
      <c r="J140" s="3">
        <v>0</v>
      </c>
      <c r="K140" s="13" t="s">
        <v>388</v>
      </c>
      <c r="L140" s="3">
        <v>1</v>
      </c>
      <c r="M140" s="13" t="s">
        <v>388</v>
      </c>
      <c r="N140" s="3">
        <v>1</v>
      </c>
      <c r="O140" s="7" t="s">
        <v>388</v>
      </c>
      <c r="P140" s="7" t="s">
        <v>259</v>
      </c>
      <c r="Q140" s="7" t="s">
        <v>388</v>
      </c>
      <c r="R140" s="7" t="s">
        <v>30</v>
      </c>
      <c r="S140" s="13" t="s">
        <v>388</v>
      </c>
      <c r="T140" s="3">
        <v>-1</v>
      </c>
      <c r="U140" s="3">
        <v>-1</v>
      </c>
      <c r="V140" s="3">
        <v>-1</v>
      </c>
      <c r="W140" s="3">
        <v>1</v>
      </c>
      <c r="X140" s="3">
        <v>-1</v>
      </c>
      <c r="AA140" s="13" t="s">
        <v>388</v>
      </c>
      <c r="AB140" s="3">
        <v>7</v>
      </c>
    </row>
    <row r="141" spans="1:28">
      <c r="A141" s="13" t="s">
        <v>389</v>
      </c>
      <c r="E141" s="13" t="s">
        <v>389</v>
      </c>
      <c r="F141" s="3">
        <v>1</v>
      </c>
      <c r="G141" s="13" t="s">
        <v>389</v>
      </c>
      <c r="H141" s="3">
        <v>1</v>
      </c>
      <c r="I141" s="13" t="s">
        <v>389</v>
      </c>
      <c r="J141" s="3">
        <v>0</v>
      </c>
      <c r="K141" s="13" t="s">
        <v>389</v>
      </c>
      <c r="L141" s="3">
        <v>1</v>
      </c>
      <c r="M141" s="13" t="s">
        <v>389</v>
      </c>
      <c r="N141" s="3">
        <v>1</v>
      </c>
      <c r="O141" s="7" t="s">
        <v>389</v>
      </c>
      <c r="P141" s="7" t="s">
        <v>390</v>
      </c>
      <c r="Q141" s="7" t="s">
        <v>389</v>
      </c>
      <c r="R141" s="7" t="s">
        <v>30</v>
      </c>
      <c r="S141" s="13" t="s">
        <v>389</v>
      </c>
      <c r="T141" s="3">
        <v>-1</v>
      </c>
      <c r="U141" s="3">
        <v>-1</v>
      </c>
      <c r="V141" s="3">
        <v>-1</v>
      </c>
      <c r="W141" s="3">
        <v>1</v>
      </c>
      <c r="X141" s="3">
        <v>-1</v>
      </c>
      <c r="AA141" s="13" t="s">
        <v>389</v>
      </c>
      <c r="AB141" s="3">
        <v>7</v>
      </c>
    </row>
    <row r="142" spans="1:28">
      <c r="A142" s="13" t="s">
        <v>391</v>
      </c>
      <c r="E142" s="13" t="s">
        <v>391</v>
      </c>
      <c r="F142" s="3">
        <v>1</v>
      </c>
      <c r="G142" s="13" t="s">
        <v>391</v>
      </c>
      <c r="H142" s="3">
        <v>0</v>
      </c>
      <c r="I142" s="13" t="s">
        <v>391</v>
      </c>
      <c r="J142" s="3">
        <v>0</v>
      </c>
      <c r="K142" s="13" t="s">
        <v>391</v>
      </c>
      <c r="L142" s="3">
        <v>1</v>
      </c>
      <c r="M142" s="13" t="s">
        <v>391</v>
      </c>
      <c r="N142" s="3">
        <v>1</v>
      </c>
      <c r="O142" s="7" t="s">
        <v>391</v>
      </c>
      <c r="P142" s="7" t="s">
        <v>378</v>
      </c>
      <c r="Q142" s="7" t="s">
        <v>391</v>
      </c>
      <c r="R142" s="7" t="s">
        <v>30</v>
      </c>
      <c r="S142" s="13" t="s">
        <v>391</v>
      </c>
      <c r="T142" s="3">
        <v>-1</v>
      </c>
      <c r="U142" s="3">
        <v>-1</v>
      </c>
      <c r="V142" s="3">
        <v>-1</v>
      </c>
      <c r="W142" s="3">
        <v>1</v>
      </c>
      <c r="X142" s="3">
        <v>-1</v>
      </c>
      <c r="AA142" s="13" t="s">
        <v>391</v>
      </c>
      <c r="AB142" s="3">
        <v>99</v>
      </c>
    </row>
    <row r="143" spans="1:28">
      <c r="A143" s="13" t="s">
        <v>392</v>
      </c>
      <c r="E143" s="13" t="s">
        <v>392</v>
      </c>
      <c r="F143" s="3">
        <v>1</v>
      </c>
      <c r="G143" s="13" t="s">
        <v>392</v>
      </c>
      <c r="H143" s="3">
        <v>0</v>
      </c>
      <c r="I143" s="13" t="s">
        <v>392</v>
      </c>
      <c r="J143" s="3">
        <v>0</v>
      </c>
      <c r="K143" s="13" t="s">
        <v>392</v>
      </c>
      <c r="L143" s="3">
        <v>1</v>
      </c>
      <c r="M143" s="13" t="s">
        <v>392</v>
      </c>
      <c r="N143" s="3">
        <v>1</v>
      </c>
      <c r="O143" s="7" t="s">
        <v>392</v>
      </c>
      <c r="P143" s="7" t="s">
        <v>393</v>
      </c>
      <c r="Q143" s="7" t="s">
        <v>392</v>
      </c>
      <c r="R143" s="7" t="s">
        <v>30</v>
      </c>
      <c r="S143" s="13" t="s">
        <v>392</v>
      </c>
      <c r="T143" s="3">
        <v>-1</v>
      </c>
      <c r="U143" s="3">
        <v>-1</v>
      </c>
      <c r="V143" s="3">
        <v>-1</v>
      </c>
      <c r="W143" s="3">
        <v>1</v>
      </c>
      <c r="X143" s="3">
        <v>-1</v>
      </c>
      <c r="AA143" s="13" t="s">
        <v>392</v>
      </c>
      <c r="AB143" s="3">
        <v>99</v>
      </c>
    </row>
    <row r="144" spans="1:28">
      <c r="A144" s="13" t="s">
        <v>395</v>
      </c>
      <c r="E144" s="13" t="s">
        <v>395</v>
      </c>
      <c r="F144" s="3">
        <v>0</v>
      </c>
      <c r="G144" s="13" t="s">
        <v>395</v>
      </c>
      <c r="H144" s="3">
        <v>0</v>
      </c>
      <c r="I144" s="13" t="s">
        <v>395</v>
      </c>
      <c r="J144" s="3">
        <v>0</v>
      </c>
      <c r="K144" s="13" t="s">
        <v>395</v>
      </c>
      <c r="L144" s="3">
        <v>1</v>
      </c>
      <c r="M144" s="13" t="s">
        <v>395</v>
      </c>
      <c r="N144" s="3">
        <v>1</v>
      </c>
      <c r="O144" s="7" t="s">
        <v>395</v>
      </c>
      <c r="P144" s="7" t="s">
        <v>394</v>
      </c>
      <c r="Q144" s="7" t="s">
        <v>395</v>
      </c>
      <c r="R144" s="7" t="s">
        <v>30</v>
      </c>
      <c r="S144" s="13" t="s">
        <v>395</v>
      </c>
      <c r="T144" s="3">
        <v>-1</v>
      </c>
      <c r="U144" s="3">
        <v>-1</v>
      </c>
      <c r="V144" s="3">
        <v>-1</v>
      </c>
      <c r="W144" s="3">
        <v>1</v>
      </c>
      <c r="X144" s="3">
        <v>-1</v>
      </c>
      <c r="AA144" s="13" t="s">
        <v>395</v>
      </c>
      <c r="AB144" s="3"/>
    </row>
    <row r="145" spans="1:28">
      <c r="A145" s="13" t="s">
        <v>396</v>
      </c>
      <c r="E145" s="13" t="s">
        <v>396</v>
      </c>
      <c r="F145" s="3">
        <v>0</v>
      </c>
      <c r="G145" s="13" t="s">
        <v>396</v>
      </c>
      <c r="H145" s="3">
        <v>0</v>
      </c>
      <c r="I145" s="13" t="s">
        <v>396</v>
      </c>
      <c r="J145" s="3">
        <v>0</v>
      </c>
      <c r="K145" s="13" t="s">
        <v>396</v>
      </c>
      <c r="L145" s="3">
        <v>1</v>
      </c>
      <c r="M145" s="13" t="s">
        <v>396</v>
      </c>
      <c r="N145" s="3">
        <v>1</v>
      </c>
      <c r="O145" s="7" t="s">
        <v>396</v>
      </c>
      <c r="P145" s="7" t="s">
        <v>397</v>
      </c>
      <c r="Q145" s="7" t="s">
        <v>396</v>
      </c>
      <c r="R145" s="7" t="s">
        <v>30</v>
      </c>
      <c r="S145" s="13" t="s">
        <v>396</v>
      </c>
      <c r="T145" s="3">
        <v>-1</v>
      </c>
      <c r="U145" s="3">
        <v>-1</v>
      </c>
      <c r="V145" s="3">
        <v>-1</v>
      </c>
      <c r="W145" s="3">
        <v>1</v>
      </c>
      <c r="X145" s="3">
        <v>-1</v>
      </c>
      <c r="AA145" s="13" t="s">
        <v>396</v>
      </c>
      <c r="AB145" s="3"/>
    </row>
    <row r="146" spans="1:28">
      <c r="A146" s="13" t="s">
        <v>398</v>
      </c>
      <c r="E146" s="13" t="s">
        <v>398</v>
      </c>
      <c r="F146" s="3">
        <v>0</v>
      </c>
      <c r="G146" s="13" t="s">
        <v>398</v>
      </c>
      <c r="H146" s="3">
        <v>0</v>
      </c>
      <c r="I146" s="13" t="s">
        <v>398</v>
      </c>
      <c r="J146" s="3">
        <v>0</v>
      </c>
      <c r="K146" s="13" t="s">
        <v>398</v>
      </c>
      <c r="L146" s="3">
        <v>1</v>
      </c>
      <c r="M146" s="13" t="s">
        <v>398</v>
      </c>
      <c r="N146" s="3">
        <v>1</v>
      </c>
      <c r="O146" s="7" t="s">
        <v>398</v>
      </c>
      <c r="P146" s="7" t="s">
        <v>399</v>
      </c>
      <c r="Q146" s="7" t="s">
        <v>398</v>
      </c>
      <c r="R146" s="7" t="s">
        <v>30</v>
      </c>
      <c r="S146" s="13" t="s">
        <v>398</v>
      </c>
      <c r="T146" s="3">
        <v>-1</v>
      </c>
      <c r="U146" s="3">
        <v>-1</v>
      </c>
      <c r="V146" s="3">
        <v>-1</v>
      </c>
      <c r="W146" s="3">
        <v>1</v>
      </c>
      <c r="X146" s="3">
        <v>-1</v>
      </c>
      <c r="AA146" s="13" t="s">
        <v>398</v>
      </c>
      <c r="AB146" s="3"/>
    </row>
    <row r="147" spans="1:28">
      <c r="A147" s="13" t="s">
        <v>400</v>
      </c>
      <c r="E147" s="13" t="s">
        <v>400</v>
      </c>
      <c r="F147" s="3">
        <v>0</v>
      </c>
      <c r="G147" s="13" t="s">
        <v>400</v>
      </c>
      <c r="H147" s="3">
        <v>0</v>
      </c>
      <c r="I147" s="13" t="s">
        <v>400</v>
      </c>
      <c r="J147" s="3">
        <v>0</v>
      </c>
      <c r="K147" s="13" t="s">
        <v>400</v>
      </c>
      <c r="L147" s="3">
        <v>1</v>
      </c>
      <c r="M147" s="13" t="s">
        <v>400</v>
      </c>
      <c r="N147" s="3">
        <v>1</v>
      </c>
      <c r="O147" s="7" t="s">
        <v>400</v>
      </c>
      <c r="P147" s="7" t="s">
        <v>401</v>
      </c>
      <c r="Q147" s="7" t="s">
        <v>400</v>
      </c>
      <c r="R147" s="7" t="s">
        <v>30</v>
      </c>
      <c r="S147" s="13" t="s">
        <v>400</v>
      </c>
      <c r="T147" s="3">
        <v>-1</v>
      </c>
      <c r="U147" s="3">
        <v>-1</v>
      </c>
      <c r="V147" s="3">
        <v>-1</v>
      </c>
      <c r="W147" s="3">
        <v>1</v>
      </c>
      <c r="X147" s="3">
        <v>-1</v>
      </c>
      <c r="AA147" s="13" t="s">
        <v>400</v>
      </c>
      <c r="AB147" s="3"/>
    </row>
    <row r="148" spans="1:28">
      <c r="A148" s="13" t="s">
        <v>402</v>
      </c>
      <c r="E148" s="13" t="s">
        <v>402</v>
      </c>
      <c r="F148" s="3">
        <v>0</v>
      </c>
      <c r="G148" s="13" t="s">
        <v>402</v>
      </c>
      <c r="H148" s="3">
        <v>0</v>
      </c>
      <c r="I148" s="13" t="s">
        <v>402</v>
      </c>
      <c r="J148" s="3">
        <v>0</v>
      </c>
      <c r="K148" s="13" t="s">
        <v>402</v>
      </c>
      <c r="L148" s="3">
        <v>1</v>
      </c>
      <c r="M148" s="13" t="s">
        <v>402</v>
      </c>
      <c r="N148" s="3">
        <v>1</v>
      </c>
      <c r="O148" s="7" t="s">
        <v>402</v>
      </c>
      <c r="P148" s="7" t="s">
        <v>405</v>
      </c>
      <c r="Q148" s="7" t="s">
        <v>402</v>
      </c>
      <c r="R148" s="7" t="s">
        <v>30</v>
      </c>
      <c r="S148" s="13" t="s">
        <v>402</v>
      </c>
      <c r="T148" s="3">
        <v>-1</v>
      </c>
      <c r="U148" s="3">
        <v>-1</v>
      </c>
      <c r="V148" s="3">
        <v>-1</v>
      </c>
      <c r="W148" s="3">
        <v>1</v>
      </c>
      <c r="X148" s="3">
        <v>-1</v>
      </c>
      <c r="AA148" s="13" t="s">
        <v>402</v>
      </c>
      <c r="AB148" s="3"/>
    </row>
    <row r="149" spans="1:28">
      <c r="A149" s="13" t="s">
        <v>403</v>
      </c>
      <c r="E149" s="13" t="s">
        <v>403</v>
      </c>
      <c r="F149" s="3">
        <v>0</v>
      </c>
      <c r="G149" s="13" t="s">
        <v>403</v>
      </c>
      <c r="H149" s="3">
        <v>0</v>
      </c>
      <c r="I149" s="13" t="s">
        <v>403</v>
      </c>
      <c r="J149" s="3">
        <v>0</v>
      </c>
      <c r="K149" s="13" t="s">
        <v>403</v>
      </c>
      <c r="L149" s="3">
        <v>1</v>
      </c>
      <c r="M149" s="13" t="s">
        <v>403</v>
      </c>
      <c r="N149" s="3">
        <v>1</v>
      </c>
      <c r="O149" s="7" t="s">
        <v>403</v>
      </c>
      <c r="P149" s="7" t="s">
        <v>406</v>
      </c>
      <c r="Q149" s="7" t="s">
        <v>403</v>
      </c>
      <c r="R149" s="7" t="s">
        <v>30</v>
      </c>
      <c r="S149" s="13" t="s">
        <v>403</v>
      </c>
      <c r="T149" s="3">
        <v>-1</v>
      </c>
      <c r="U149" s="3">
        <v>-1</v>
      </c>
      <c r="V149" s="3">
        <v>-1</v>
      </c>
      <c r="W149" s="3">
        <v>1</v>
      </c>
      <c r="X149" s="3">
        <v>-1</v>
      </c>
      <c r="AA149" s="13" t="s">
        <v>403</v>
      </c>
      <c r="AB149" s="3"/>
    </row>
    <row r="150" spans="1:28">
      <c r="A150" s="13" t="s">
        <v>404</v>
      </c>
      <c r="E150" s="13" t="s">
        <v>404</v>
      </c>
      <c r="F150" s="3">
        <v>0</v>
      </c>
      <c r="G150" s="13" t="s">
        <v>404</v>
      </c>
      <c r="H150" s="3">
        <v>0</v>
      </c>
      <c r="I150" s="13" t="s">
        <v>404</v>
      </c>
      <c r="J150" s="3">
        <v>0</v>
      </c>
      <c r="K150" s="13" t="s">
        <v>404</v>
      </c>
      <c r="L150" s="3">
        <v>1</v>
      </c>
      <c r="M150" s="13" t="s">
        <v>404</v>
      </c>
      <c r="N150" s="3">
        <v>1</v>
      </c>
      <c r="O150" s="7" t="s">
        <v>404</v>
      </c>
      <c r="P150" s="7" t="s">
        <v>407</v>
      </c>
      <c r="Q150" s="7" t="s">
        <v>404</v>
      </c>
      <c r="R150" s="7" t="s">
        <v>30</v>
      </c>
      <c r="S150" s="13" t="s">
        <v>404</v>
      </c>
      <c r="T150" s="3">
        <v>-1</v>
      </c>
      <c r="U150" s="3">
        <v>-1</v>
      </c>
      <c r="V150" s="3">
        <v>-1</v>
      </c>
      <c r="W150" s="3">
        <v>1</v>
      </c>
      <c r="X150" s="3">
        <v>-1</v>
      </c>
      <c r="AA150" s="13" t="s">
        <v>404</v>
      </c>
      <c r="AB150" s="3"/>
    </row>
    <row r="151" spans="1:28">
      <c r="A151" s="13" t="s">
        <v>409</v>
      </c>
      <c r="E151" s="13" t="s">
        <v>409</v>
      </c>
      <c r="F151" s="3">
        <v>0</v>
      </c>
      <c r="G151" s="13" t="s">
        <v>409</v>
      </c>
      <c r="H151" s="3">
        <v>0</v>
      </c>
      <c r="I151" s="13" t="s">
        <v>409</v>
      </c>
      <c r="J151" s="3">
        <v>0</v>
      </c>
      <c r="K151" s="13" t="s">
        <v>409</v>
      </c>
      <c r="L151" s="3">
        <v>1</v>
      </c>
      <c r="M151" s="13" t="s">
        <v>409</v>
      </c>
      <c r="N151" s="3">
        <v>1</v>
      </c>
      <c r="O151" s="7" t="s">
        <v>409</v>
      </c>
      <c r="P151" s="7" t="s">
        <v>410</v>
      </c>
      <c r="Q151" s="7" t="s">
        <v>409</v>
      </c>
      <c r="R151" s="7" t="s">
        <v>30</v>
      </c>
      <c r="S151" s="13" t="s">
        <v>409</v>
      </c>
      <c r="T151" s="3">
        <v>-1</v>
      </c>
      <c r="U151" s="3">
        <v>-1</v>
      </c>
      <c r="V151" s="3">
        <v>-1</v>
      </c>
      <c r="W151" s="3">
        <v>1</v>
      </c>
      <c r="X151" s="3">
        <v>-1</v>
      </c>
      <c r="AA151" s="13" t="s">
        <v>409</v>
      </c>
      <c r="AB151" s="3"/>
    </row>
    <row r="152" spans="1:28">
      <c r="A152" s="13" t="s">
        <v>411</v>
      </c>
      <c r="E152" s="13" t="s">
        <v>411</v>
      </c>
      <c r="F152" s="3">
        <v>0</v>
      </c>
      <c r="G152" s="13" t="s">
        <v>411</v>
      </c>
      <c r="H152" s="3">
        <v>1</v>
      </c>
      <c r="I152" s="13" t="s">
        <v>411</v>
      </c>
      <c r="J152" s="3">
        <v>0</v>
      </c>
      <c r="K152" s="13" t="s">
        <v>411</v>
      </c>
      <c r="L152" s="3">
        <v>1</v>
      </c>
      <c r="M152" s="13" t="s">
        <v>411</v>
      </c>
      <c r="N152" s="3">
        <v>1</v>
      </c>
      <c r="O152" s="7" t="s">
        <v>411</v>
      </c>
      <c r="P152" s="7" t="s">
        <v>378</v>
      </c>
      <c r="Q152" s="7" t="s">
        <v>411</v>
      </c>
      <c r="R152" s="7" t="s">
        <v>30</v>
      </c>
      <c r="S152" s="13" t="s">
        <v>411</v>
      </c>
      <c r="T152" s="3">
        <v>-1</v>
      </c>
      <c r="U152" s="3">
        <v>-1</v>
      </c>
      <c r="V152" s="3">
        <v>-1</v>
      </c>
      <c r="W152" s="3">
        <v>1</v>
      </c>
      <c r="X152" s="3">
        <v>-1</v>
      </c>
      <c r="AA152" s="13" t="s">
        <v>411</v>
      </c>
      <c r="AB152" s="3">
        <v>99</v>
      </c>
    </row>
    <row r="153" spans="1:28">
      <c r="A153" s="13" t="s">
        <v>412</v>
      </c>
      <c r="E153" s="13" t="s">
        <v>412</v>
      </c>
      <c r="F153" s="3">
        <v>0</v>
      </c>
      <c r="G153" s="13" t="s">
        <v>412</v>
      </c>
      <c r="H153" s="3">
        <v>0</v>
      </c>
      <c r="I153" s="13" t="s">
        <v>412</v>
      </c>
      <c r="J153" s="3">
        <v>0</v>
      </c>
      <c r="K153" s="13" t="s">
        <v>412</v>
      </c>
      <c r="L153" s="3">
        <v>1</v>
      </c>
      <c r="M153" s="13" t="s">
        <v>412</v>
      </c>
      <c r="N153" s="3">
        <v>1</v>
      </c>
      <c r="O153" s="7" t="s">
        <v>412</v>
      </c>
      <c r="P153" s="7" t="s">
        <v>393</v>
      </c>
      <c r="Q153" s="7" t="s">
        <v>412</v>
      </c>
      <c r="R153" s="7" t="s">
        <v>30</v>
      </c>
      <c r="S153" s="13" t="s">
        <v>412</v>
      </c>
      <c r="T153" s="3">
        <v>-1</v>
      </c>
      <c r="U153" s="3">
        <v>-1</v>
      </c>
      <c r="V153" s="3">
        <v>-1</v>
      </c>
      <c r="W153" s="3">
        <v>1</v>
      </c>
      <c r="X153" s="3">
        <v>-1</v>
      </c>
      <c r="AA153" s="13" t="s">
        <v>412</v>
      </c>
      <c r="AB153" s="3">
        <v>99</v>
      </c>
    </row>
    <row r="154" spans="1:28">
      <c r="A154" s="13" t="s">
        <v>413</v>
      </c>
      <c r="E154" s="13" t="s">
        <v>413</v>
      </c>
      <c r="F154" s="3">
        <v>0</v>
      </c>
      <c r="G154" s="13" t="s">
        <v>413</v>
      </c>
      <c r="H154" s="3">
        <v>1</v>
      </c>
      <c r="I154" s="13" t="s">
        <v>413</v>
      </c>
      <c r="J154" s="3">
        <v>0</v>
      </c>
      <c r="K154" s="13" t="s">
        <v>413</v>
      </c>
      <c r="L154" s="3">
        <v>1</v>
      </c>
      <c r="M154" s="13" t="s">
        <v>413</v>
      </c>
      <c r="N154" s="3">
        <v>1</v>
      </c>
      <c r="O154" s="7" t="s">
        <v>413</v>
      </c>
      <c r="P154" s="7" t="s">
        <v>259</v>
      </c>
      <c r="Q154" s="7" t="s">
        <v>413</v>
      </c>
      <c r="R154" s="7" t="s">
        <v>30</v>
      </c>
      <c r="S154" s="13" t="s">
        <v>413</v>
      </c>
      <c r="T154" s="3">
        <v>-1</v>
      </c>
      <c r="U154" s="3">
        <v>-1</v>
      </c>
      <c r="V154" s="3">
        <v>-1</v>
      </c>
      <c r="W154" s="3">
        <v>1</v>
      </c>
      <c r="X154" s="3">
        <v>-1</v>
      </c>
      <c r="AA154" s="13" t="s">
        <v>413</v>
      </c>
      <c r="AB154" s="3">
        <v>7</v>
      </c>
    </row>
    <row r="155" spans="1:28">
      <c r="A155" s="13" t="s">
        <v>414</v>
      </c>
      <c r="E155" s="13" t="s">
        <v>414</v>
      </c>
      <c r="F155" s="3">
        <v>0</v>
      </c>
      <c r="G155" s="13" t="s">
        <v>414</v>
      </c>
      <c r="H155" s="3">
        <v>1</v>
      </c>
      <c r="I155" s="13" t="s">
        <v>414</v>
      </c>
      <c r="J155" s="3">
        <v>0</v>
      </c>
      <c r="K155" s="13" t="s">
        <v>414</v>
      </c>
      <c r="L155" s="3">
        <v>1</v>
      </c>
      <c r="M155" s="13" t="s">
        <v>414</v>
      </c>
      <c r="N155" s="3">
        <v>1</v>
      </c>
      <c r="O155" s="7" t="s">
        <v>414</v>
      </c>
      <c r="P155" s="7" t="s">
        <v>390</v>
      </c>
      <c r="Q155" s="7" t="s">
        <v>414</v>
      </c>
      <c r="R155" s="7" t="s">
        <v>30</v>
      </c>
      <c r="S155" s="13" t="s">
        <v>414</v>
      </c>
      <c r="T155" s="3">
        <v>-1</v>
      </c>
      <c r="U155" s="3">
        <v>-1</v>
      </c>
      <c r="V155" s="3">
        <v>-1</v>
      </c>
      <c r="W155" s="3">
        <v>1</v>
      </c>
      <c r="X155" s="3">
        <v>-1</v>
      </c>
      <c r="AA155" s="13" t="s">
        <v>414</v>
      </c>
      <c r="AB155" s="3">
        <v>7</v>
      </c>
    </row>
    <row r="156" spans="1:28">
      <c r="A156" s="13" t="s">
        <v>415</v>
      </c>
      <c r="E156" s="13" t="s">
        <v>415</v>
      </c>
      <c r="F156" s="3">
        <v>1</v>
      </c>
      <c r="G156" s="13" t="s">
        <v>415</v>
      </c>
      <c r="H156" s="3">
        <v>0</v>
      </c>
      <c r="I156" s="13" t="s">
        <v>415</v>
      </c>
      <c r="J156" s="3">
        <v>0</v>
      </c>
      <c r="K156" s="13" t="s">
        <v>415</v>
      </c>
      <c r="L156" s="3">
        <v>1</v>
      </c>
      <c r="M156" s="13" t="s">
        <v>415</v>
      </c>
      <c r="N156" s="3">
        <v>1</v>
      </c>
      <c r="O156" s="7" t="s">
        <v>415</v>
      </c>
      <c r="P156" s="7" t="s">
        <v>419</v>
      </c>
      <c r="Q156" s="7" t="s">
        <v>415</v>
      </c>
      <c r="R156" s="7" t="s">
        <v>30</v>
      </c>
      <c r="S156" s="13" t="s">
        <v>415</v>
      </c>
      <c r="T156" s="3">
        <v>-1</v>
      </c>
      <c r="U156" s="3">
        <v>-1</v>
      </c>
      <c r="V156" s="3">
        <v>-1</v>
      </c>
      <c r="W156" s="3">
        <v>1</v>
      </c>
      <c r="X156" s="3">
        <v>-1</v>
      </c>
      <c r="AA156" s="13" t="s">
        <v>415</v>
      </c>
      <c r="AB156" s="3">
        <v>99</v>
      </c>
    </row>
    <row r="157" spans="1:28">
      <c r="A157" s="13" t="s">
        <v>416</v>
      </c>
      <c r="E157" s="13" t="s">
        <v>416</v>
      </c>
      <c r="F157" s="3">
        <v>1</v>
      </c>
      <c r="G157" s="13" t="s">
        <v>416</v>
      </c>
      <c r="H157" s="3">
        <v>0</v>
      </c>
      <c r="I157" s="13" t="s">
        <v>416</v>
      </c>
      <c r="J157" s="3">
        <v>0</v>
      </c>
      <c r="K157" s="13" t="s">
        <v>416</v>
      </c>
      <c r="L157" s="3">
        <v>1</v>
      </c>
      <c r="M157" s="13" t="s">
        <v>416</v>
      </c>
      <c r="N157" s="3">
        <v>1</v>
      </c>
      <c r="O157" s="7" t="s">
        <v>416</v>
      </c>
      <c r="P157" s="7" t="s">
        <v>420</v>
      </c>
      <c r="Q157" s="7" t="s">
        <v>416</v>
      </c>
      <c r="R157" s="7" t="s">
        <v>30</v>
      </c>
      <c r="S157" s="13" t="s">
        <v>416</v>
      </c>
      <c r="T157" s="3">
        <v>-1</v>
      </c>
      <c r="U157" s="3">
        <v>-1</v>
      </c>
      <c r="V157" s="3">
        <v>-1</v>
      </c>
      <c r="W157" s="3">
        <v>1</v>
      </c>
      <c r="X157" s="3">
        <v>-1</v>
      </c>
      <c r="AA157" s="13" t="s">
        <v>416</v>
      </c>
      <c r="AB157" s="3">
        <v>99</v>
      </c>
    </row>
    <row r="158" spans="1:28">
      <c r="A158" s="13" t="s">
        <v>417</v>
      </c>
      <c r="E158" s="13" t="s">
        <v>417</v>
      </c>
      <c r="F158" s="3">
        <v>1</v>
      </c>
      <c r="G158" s="13" t="s">
        <v>417</v>
      </c>
      <c r="H158" s="3">
        <v>0</v>
      </c>
      <c r="I158" s="13" t="s">
        <v>417</v>
      </c>
      <c r="J158" s="3">
        <v>0</v>
      </c>
      <c r="K158" s="13" t="s">
        <v>417</v>
      </c>
      <c r="L158" s="3">
        <v>1</v>
      </c>
      <c r="M158" s="13" t="s">
        <v>417</v>
      </c>
      <c r="N158" s="3">
        <v>1</v>
      </c>
      <c r="O158" s="7" t="s">
        <v>417</v>
      </c>
      <c r="P158" s="7" t="s">
        <v>421</v>
      </c>
      <c r="Q158" s="7" t="s">
        <v>417</v>
      </c>
      <c r="R158" s="7" t="s">
        <v>30</v>
      </c>
      <c r="S158" s="13" t="s">
        <v>417</v>
      </c>
      <c r="T158" s="3">
        <v>-1</v>
      </c>
      <c r="U158" s="3">
        <v>-1</v>
      </c>
      <c r="V158" s="3">
        <v>-1</v>
      </c>
      <c r="W158" s="3">
        <v>1</v>
      </c>
      <c r="X158" s="3">
        <v>-1</v>
      </c>
      <c r="AA158" s="13" t="s">
        <v>417</v>
      </c>
      <c r="AB158" s="3">
        <v>99</v>
      </c>
    </row>
    <row r="159" spans="1:28">
      <c r="A159" s="13" t="s">
        <v>418</v>
      </c>
      <c r="E159" s="13" t="s">
        <v>418</v>
      </c>
      <c r="F159" s="3">
        <v>1</v>
      </c>
      <c r="G159" s="13" t="s">
        <v>418</v>
      </c>
      <c r="H159" s="3">
        <v>0</v>
      </c>
      <c r="I159" s="13" t="s">
        <v>418</v>
      </c>
      <c r="J159" s="3">
        <v>0</v>
      </c>
      <c r="K159" s="13" t="s">
        <v>418</v>
      </c>
      <c r="L159" s="3">
        <v>1</v>
      </c>
      <c r="M159" s="13" t="s">
        <v>418</v>
      </c>
      <c r="N159" s="3">
        <v>1</v>
      </c>
      <c r="O159" s="7" t="s">
        <v>418</v>
      </c>
      <c r="P159" s="7" t="s">
        <v>422</v>
      </c>
      <c r="Q159" s="7" t="s">
        <v>418</v>
      </c>
      <c r="R159" s="7" t="s">
        <v>30</v>
      </c>
      <c r="S159" s="13" t="s">
        <v>418</v>
      </c>
      <c r="T159" s="3">
        <v>-1</v>
      </c>
      <c r="U159" s="3">
        <v>-1</v>
      </c>
      <c r="V159" s="3">
        <v>-1</v>
      </c>
      <c r="W159" s="3">
        <v>1</v>
      </c>
      <c r="X159" s="3">
        <v>-1</v>
      </c>
      <c r="AA159" s="13" t="s">
        <v>418</v>
      </c>
      <c r="AB159" s="3">
        <v>99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G174"/>
  <sheetViews>
    <sheetView tabSelected="1" zoomScale="90" zoomScaleNormal="90" workbookViewId="0">
      <pane xSplit="2" ySplit="7" topLeftCell="C111" activePane="bottomRight" state="frozen"/>
      <selection pane="topRight" activeCell="C1" sqref="C1"/>
      <selection pane="bottomLeft" activeCell="A8" sqref="A8"/>
      <selection pane="bottomRight" activeCell="E7" sqref="E7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style="7" customWidth="1"/>
    <col min="5" max="5" width="20.28515625" customWidth="1"/>
    <col min="6" max="6" width="20.28515625" style="7" customWidth="1"/>
    <col min="7" max="9" width="11.5703125" style="7" customWidth="1"/>
    <col min="10" max="10" width="15.85546875" style="7" customWidth="1"/>
    <col min="11" max="13" width="11.5703125" style="7" customWidth="1"/>
    <col min="14" max="14" width="7" style="7" customWidth="1"/>
    <col min="15" max="15" width="8.140625" style="7" customWidth="1"/>
    <col min="16" max="16" width="11.5703125" customWidth="1"/>
    <col min="19" max="31" width="5.5703125" customWidth="1"/>
    <col min="32" max="50" width="6.42578125" customWidth="1"/>
  </cols>
  <sheetData>
    <row r="1" spans="1:59">
      <c r="A1" s="7" t="s">
        <v>203</v>
      </c>
      <c r="B1" s="7" t="str" cm="1">
        <f t="array" aca="1" ref="B1" ca="1">LEFT(CELL("filename",A1),FIND("[",CELL("filename",A1))-1)</f>
        <v>C:\Models\SATIMGE\</v>
      </c>
      <c r="C1" s="7"/>
      <c r="E1" s="7"/>
      <c r="J1" s="7" t="s">
        <v>188</v>
      </c>
      <c r="K1" s="7">
        <v>-1</v>
      </c>
      <c r="L1" s="7">
        <v>-1</v>
      </c>
      <c r="M1" s="7">
        <v>-1</v>
      </c>
      <c r="N1" s="7">
        <v>1</v>
      </c>
      <c r="O1" s="7">
        <v>-1</v>
      </c>
    </row>
    <row r="2" spans="1:59">
      <c r="B2" s="7"/>
      <c r="E2" s="7"/>
      <c r="J2" s="7" t="s">
        <v>189</v>
      </c>
      <c r="K2" s="7">
        <v>2</v>
      </c>
      <c r="L2" s="7">
        <v>2</v>
      </c>
      <c r="M2" s="7">
        <v>1</v>
      </c>
      <c r="N2" s="7">
        <v>2</v>
      </c>
      <c r="O2" s="7">
        <v>1</v>
      </c>
    </row>
    <row r="3" spans="1:59">
      <c r="B3" s="7"/>
      <c r="E3" s="7"/>
      <c r="J3" s="7" t="s">
        <v>190</v>
      </c>
      <c r="K3" s="7">
        <v>2</v>
      </c>
      <c r="L3" s="7">
        <v>2</v>
      </c>
      <c r="M3" s="7">
        <v>2</v>
      </c>
      <c r="N3" s="7">
        <v>1</v>
      </c>
      <c r="O3" s="7">
        <v>2</v>
      </c>
    </row>
    <row r="4" spans="1:59">
      <c r="B4" s="7"/>
      <c r="E4" s="7"/>
      <c r="J4" s="7" t="s">
        <v>191</v>
      </c>
      <c r="K4" s="7">
        <v>1</v>
      </c>
      <c r="L4" s="7">
        <v>1</v>
      </c>
      <c r="M4" s="7">
        <v>3</v>
      </c>
      <c r="N4" s="7">
        <v>3</v>
      </c>
      <c r="O4" s="7">
        <v>3</v>
      </c>
    </row>
    <row r="5" spans="1:59" ht="45">
      <c r="A5" s="7" t="s">
        <v>327</v>
      </c>
      <c r="G5" s="8" t="s">
        <v>62</v>
      </c>
      <c r="H5" s="10"/>
      <c r="I5" s="10"/>
      <c r="J5" s="10"/>
      <c r="K5" s="10"/>
      <c r="L5" s="10"/>
      <c r="M5" s="10"/>
      <c r="N5" s="10"/>
      <c r="O5" s="10"/>
      <c r="AZ5" t="s">
        <v>262</v>
      </c>
    </row>
    <row r="6" spans="1:59">
      <c r="A6" s="5">
        <f>SUM(A8:A159)</f>
        <v>12</v>
      </c>
      <c r="B6" s="18" t="str">
        <f>IF(AY6&gt;0,"Scenario Name Too long - see column AY","ScenarioNames are Fine (&lt;30 char)")</f>
        <v>ScenarioNames are Fine (&lt;30 char)</v>
      </c>
      <c r="D6" s="9"/>
      <c r="E6" s="4"/>
      <c r="F6" s="11"/>
      <c r="G6" s="7">
        <v>3</v>
      </c>
      <c r="H6" s="11"/>
      <c r="I6" s="11"/>
      <c r="J6" s="11"/>
      <c r="K6" s="11"/>
      <c r="L6" s="11"/>
      <c r="M6" s="11"/>
      <c r="N6" s="11"/>
      <c r="O6" s="11"/>
      <c r="R6" s="20" t="s">
        <v>26</v>
      </c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Y6">
        <f>SUM(AY8:AY160)</f>
        <v>0</v>
      </c>
    </row>
    <row r="7" spans="1:59" ht="45">
      <c r="A7" s="6" t="s">
        <v>9</v>
      </c>
      <c r="B7" s="2" t="s">
        <v>35</v>
      </c>
      <c r="C7" s="2" t="s">
        <v>200</v>
      </c>
      <c r="D7" s="2" t="s">
        <v>29</v>
      </c>
      <c r="E7" s="2" t="s">
        <v>28</v>
      </c>
      <c r="F7" s="2" t="s">
        <v>34</v>
      </c>
      <c r="G7" s="8" t="s">
        <v>13</v>
      </c>
      <c r="H7" s="8" t="s">
        <v>192</v>
      </c>
      <c r="I7" s="8" t="s">
        <v>36</v>
      </c>
      <c r="J7" s="8" t="s">
        <v>37</v>
      </c>
      <c r="K7" s="8" t="s">
        <v>179</v>
      </c>
      <c r="L7" s="8" t="s">
        <v>180</v>
      </c>
      <c r="M7" s="8" t="s">
        <v>181</v>
      </c>
      <c r="N7" s="8" t="s">
        <v>183</v>
      </c>
      <c r="O7" s="8" t="s">
        <v>182</v>
      </c>
      <c r="P7" s="8" t="s">
        <v>12</v>
      </c>
      <c r="R7">
        <v>2018</v>
      </c>
      <c r="S7">
        <f>R7+1</f>
        <v>2019</v>
      </c>
      <c r="T7" s="7">
        <f t="shared" ref="T7:AX7" si="0">S7+1</f>
        <v>2020</v>
      </c>
      <c r="U7" s="7">
        <f t="shared" si="0"/>
        <v>2021</v>
      </c>
      <c r="V7" s="7">
        <f t="shared" si="0"/>
        <v>2022</v>
      </c>
      <c r="W7" s="7">
        <f t="shared" si="0"/>
        <v>2023</v>
      </c>
      <c r="X7" s="7">
        <f t="shared" si="0"/>
        <v>2024</v>
      </c>
      <c r="Y7" s="7">
        <f t="shared" si="0"/>
        <v>2025</v>
      </c>
      <c r="Z7" s="7">
        <f t="shared" si="0"/>
        <v>2026</v>
      </c>
      <c r="AA7" s="7">
        <f t="shared" si="0"/>
        <v>2027</v>
      </c>
      <c r="AB7" s="7">
        <f t="shared" si="0"/>
        <v>2028</v>
      </c>
      <c r="AC7" s="7">
        <f t="shared" si="0"/>
        <v>2029</v>
      </c>
      <c r="AD7" s="7">
        <f t="shared" si="0"/>
        <v>2030</v>
      </c>
      <c r="AE7" s="7">
        <f t="shared" si="0"/>
        <v>2031</v>
      </c>
      <c r="AF7" s="7">
        <f t="shared" si="0"/>
        <v>2032</v>
      </c>
      <c r="AG7" s="7">
        <f t="shared" si="0"/>
        <v>2033</v>
      </c>
      <c r="AH7" s="7">
        <f t="shared" si="0"/>
        <v>2034</v>
      </c>
      <c r="AI7" s="7">
        <f t="shared" si="0"/>
        <v>2035</v>
      </c>
      <c r="AJ7" s="7">
        <f t="shared" si="0"/>
        <v>2036</v>
      </c>
      <c r="AK7" s="7">
        <f t="shared" si="0"/>
        <v>2037</v>
      </c>
      <c r="AL7" s="7">
        <f t="shared" si="0"/>
        <v>2038</v>
      </c>
      <c r="AM7" s="7">
        <f t="shared" si="0"/>
        <v>2039</v>
      </c>
      <c r="AN7" s="7">
        <f t="shared" si="0"/>
        <v>2040</v>
      </c>
      <c r="AO7" s="7">
        <f t="shared" si="0"/>
        <v>2041</v>
      </c>
      <c r="AP7" s="7">
        <f t="shared" si="0"/>
        <v>2042</v>
      </c>
      <c r="AQ7" s="7">
        <f t="shared" si="0"/>
        <v>2043</v>
      </c>
      <c r="AR7" s="7">
        <f t="shared" si="0"/>
        <v>2044</v>
      </c>
      <c r="AS7" s="7">
        <f t="shared" si="0"/>
        <v>2045</v>
      </c>
      <c r="AT7" s="7">
        <f t="shared" si="0"/>
        <v>2046</v>
      </c>
      <c r="AU7" s="7">
        <f t="shared" si="0"/>
        <v>2047</v>
      </c>
      <c r="AV7" s="7">
        <f t="shared" si="0"/>
        <v>2048</v>
      </c>
      <c r="AW7" s="7">
        <f t="shared" si="0"/>
        <v>2049</v>
      </c>
      <c r="AX7" s="7">
        <f t="shared" si="0"/>
        <v>2050</v>
      </c>
      <c r="AY7" t="s">
        <v>333</v>
      </c>
      <c r="AZ7" t="s">
        <v>263</v>
      </c>
      <c r="BA7" t="s">
        <v>264</v>
      </c>
      <c r="BB7" t="s">
        <v>265</v>
      </c>
      <c r="BC7" t="s">
        <v>266</v>
      </c>
      <c r="BD7" t="s">
        <v>267</v>
      </c>
      <c r="BE7" t="s">
        <v>321</v>
      </c>
      <c r="BF7" t="s">
        <v>322</v>
      </c>
      <c r="BG7" t="s">
        <v>408</v>
      </c>
    </row>
    <row r="8" spans="1:59" s="7" customFormat="1">
      <c r="A8" s="17">
        <v>0</v>
      </c>
      <c r="B8" s="7" t="s">
        <v>380</v>
      </c>
      <c r="C8" s="7" t="s">
        <v>201</v>
      </c>
      <c r="D8" s="7" t="s">
        <v>30</v>
      </c>
      <c r="E8" s="7" t="s">
        <v>237</v>
      </c>
      <c r="F8" s="7">
        <v>1</v>
      </c>
      <c r="G8" s="7">
        <v>1</v>
      </c>
      <c r="H8" s="7" t="str">
        <f>J1</f>
        <v>No Pams</v>
      </c>
      <c r="I8" s="7">
        <v>1</v>
      </c>
      <c r="J8" s="7">
        <v>1</v>
      </c>
      <c r="K8" s="7">
        <f t="shared" ref="K8:O22" si="1">INDEX(K$1:K$4,MATCH($H8,$J$1:$J$4,0))</f>
        <v>-1</v>
      </c>
      <c r="L8" s="7">
        <f t="shared" ref="L8:O84" si="2">INDEX(L$1:L$4,MATCH($H8,$J$1:$J$4,0))</f>
        <v>-1</v>
      </c>
      <c r="M8" s="7">
        <f t="shared" si="2"/>
        <v>-1</v>
      </c>
      <c r="N8" s="7">
        <f t="shared" si="2"/>
        <v>1</v>
      </c>
      <c r="O8" s="7">
        <f t="shared" si="2"/>
        <v>-1</v>
      </c>
      <c r="P8" s="7">
        <v>100</v>
      </c>
      <c r="Q8" s="7" t="str">
        <f>B8</f>
        <v>NoPams</v>
      </c>
      <c r="AY8" s="7">
        <f>IF(LEN(B8)&gt;30,1,0)</f>
        <v>0</v>
      </c>
      <c r="AZ8" s="7">
        <v>1</v>
      </c>
      <c r="BA8" s="7">
        <v>1</v>
      </c>
      <c r="BB8" s="7">
        <v>1</v>
      </c>
      <c r="BD8" s="7">
        <v>1</v>
      </c>
      <c r="BE8" s="7">
        <v>1</v>
      </c>
    </row>
    <row r="9" spans="1:59" s="7" customFormat="1">
      <c r="A9" s="17">
        <v>0</v>
      </c>
      <c r="B9" s="7" t="s">
        <v>236</v>
      </c>
      <c r="C9" s="7" t="s">
        <v>201</v>
      </c>
      <c r="D9" s="7" t="s">
        <v>30</v>
      </c>
      <c r="E9" s="7" t="s">
        <v>358</v>
      </c>
      <c r="F9" s="7">
        <v>1</v>
      </c>
      <c r="G9" s="7">
        <v>1</v>
      </c>
      <c r="H9" s="7" t="str">
        <f>J2</f>
        <v>Base Pams</v>
      </c>
      <c r="I9" s="7">
        <v>1</v>
      </c>
      <c r="J9" s="7">
        <v>1</v>
      </c>
      <c r="K9" s="7">
        <f t="shared" si="1"/>
        <v>2</v>
      </c>
      <c r="L9" s="7">
        <f t="shared" si="2"/>
        <v>2</v>
      </c>
      <c r="M9" s="7">
        <f t="shared" si="2"/>
        <v>1</v>
      </c>
      <c r="N9" s="7">
        <f t="shared" si="2"/>
        <v>2</v>
      </c>
      <c r="O9" s="7">
        <f t="shared" si="2"/>
        <v>1</v>
      </c>
      <c r="P9" s="7">
        <v>100</v>
      </c>
      <c r="Q9" s="7" t="str">
        <f>B9</f>
        <v>NoPAMS-IRP</v>
      </c>
      <c r="AY9" s="7">
        <f>IF(LEN(B9)&gt;30,1,0)</f>
        <v>0</v>
      </c>
      <c r="AZ9" s="7">
        <v>1</v>
      </c>
      <c r="BA9" s="7">
        <v>1</v>
      </c>
      <c r="BB9" s="7">
        <v>1</v>
      </c>
      <c r="BD9" s="7">
        <v>1</v>
      </c>
      <c r="BE9" s="7">
        <v>1</v>
      </c>
    </row>
    <row r="10" spans="1:59" s="7" customFormat="1">
      <c r="A10" s="17">
        <v>0</v>
      </c>
      <c r="B10" s="7" t="s">
        <v>377</v>
      </c>
      <c r="C10" s="7" t="s">
        <v>201</v>
      </c>
      <c r="D10" s="7" t="s">
        <v>30</v>
      </c>
      <c r="E10" s="7" t="s">
        <v>378</v>
      </c>
      <c r="F10" s="7">
        <v>1</v>
      </c>
      <c r="G10" s="7">
        <v>1</v>
      </c>
      <c r="H10" s="7" t="s">
        <v>188</v>
      </c>
      <c r="I10" s="7">
        <v>1</v>
      </c>
      <c r="J10" s="7">
        <v>1</v>
      </c>
      <c r="K10" s="7">
        <f t="shared" si="1"/>
        <v>-1</v>
      </c>
      <c r="L10" s="7">
        <f t="shared" si="1"/>
        <v>-1</v>
      </c>
      <c r="M10" s="7">
        <f t="shared" si="1"/>
        <v>-1</v>
      </c>
      <c r="N10" s="7">
        <f t="shared" si="1"/>
        <v>1</v>
      </c>
      <c r="O10" s="7">
        <f t="shared" si="1"/>
        <v>-1</v>
      </c>
      <c r="P10" s="7">
        <v>100</v>
      </c>
      <c r="Q10" s="7" t="str">
        <f t="shared" ref="Q10" si="3">B10</f>
        <v>NoPAMS-IRPL</v>
      </c>
      <c r="AY10" s="7">
        <f t="shared" ref="AY10" si="4">IF(LEN(B10)&gt;30,1,0)</f>
        <v>0</v>
      </c>
      <c r="AZ10" s="7">
        <v>1</v>
      </c>
      <c r="BE10" s="7">
        <v>1</v>
      </c>
    </row>
    <row r="11" spans="1:59" s="7" customFormat="1">
      <c r="A11" s="17">
        <v>0</v>
      </c>
      <c r="B11" s="7" t="s">
        <v>339</v>
      </c>
      <c r="C11" s="7" t="s">
        <v>201</v>
      </c>
      <c r="D11" s="7" t="s">
        <v>30</v>
      </c>
      <c r="E11" s="7" t="s">
        <v>340</v>
      </c>
      <c r="F11" s="7">
        <v>1</v>
      </c>
      <c r="G11" s="7">
        <v>1</v>
      </c>
      <c r="H11" s="7" t="str">
        <f>J2</f>
        <v>Base Pams</v>
      </c>
      <c r="I11" s="7">
        <v>1</v>
      </c>
      <c r="J11" s="7">
        <v>1</v>
      </c>
      <c r="K11" s="7">
        <f t="shared" si="1"/>
        <v>2</v>
      </c>
      <c r="L11" s="7">
        <f t="shared" si="2"/>
        <v>2</v>
      </c>
      <c r="M11" s="18">
        <v>-1</v>
      </c>
      <c r="N11" s="7">
        <f t="shared" si="2"/>
        <v>2</v>
      </c>
      <c r="O11" s="7">
        <f t="shared" si="2"/>
        <v>1</v>
      </c>
      <c r="P11" s="7">
        <v>100</v>
      </c>
      <c r="Q11" s="7" t="str">
        <f>B11</f>
        <v>NoPAMS-EEnoGTS</v>
      </c>
      <c r="AY11" s="7">
        <f>IF(LEN(B11)&gt;30,1,0)</f>
        <v>0</v>
      </c>
      <c r="AZ11" s="7">
        <v>1</v>
      </c>
      <c r="BA11" s="7">
        <v>1</v>
      </c>
      <c r="BB11" s="7">
        <v>1</v>
      </c>
      <c r="BD11" s="7">
        <v>1</v>
      </c>
      <c r="BE11" s="7">
        <v>1</v>
      </c>
    </row>
    <row r="12" spans="1:59" s="7" customFormat="1">
      <c r="A12" s="17">
        <v>0</v>
      </c>
      <c r="B12" s="7" t="s">
        <v>215</v>
      </c>
      <c r="C12" s="7" t="s">
        <v>201</v>
      </c>
      <c r="D12" s="7" t="s">
        <v>30</v>
      </c>
      <c r="E12" s="7" t="s">
        <v>216</v>
      </c>
      <c r="F12" s="7">
        <v>1</v>
      </c>
      <c r="G12" s="7">
        <v>1</v>
      </c>
      <c r="H12" s="7" t="s">
        <v>190</v>
      </c>
      <c r="I12" s="7">
        <v>1</v>
      </c>
      <c r="J12" s="7">
        <v>1</v>
      </c>
      <c r="K12" s="7">
        <f t="shared" si="1"/>
        <v>2</v>
      </c>
      <c r="L12" s="7">
        <f t="shared" si="2"/>
        <v>2</v>
      </c>
      <c r="M12" s="7">
        <f t="shared" si="2"/>
        <v>2</v>
      </c>
      <c r="N12" s="7">
        <f t="shared" si="2"/>
        <v>1</v>
      </c>
      <c r="O12" s="7">
        <f t="shared" si="2"/>
        <v>2</v>
      </c>
      <c r="Q12" s="7" t="str">
        <f>B12</f>
        <v>LoPAMS</v>
      </c>
      <c r="AY12" s="7">
        <f t="shared" ref="AY12:AY111" si="5">IF(LEN(B12)&gt;30,1,0)</f>
        <v>0</v>
      </c>
      <c r="AZ12" s="7">
        <v>1</v>
      </c>
    </row>
    <row r="13" spans="1:59" s="7" customFormat="1">
      <c r="A13" s="17">
        <v>0</v>
      </c>
      <c r="B13" s="7" t="s">
        <v>204</v>
      </c>
      <c r="C13" s="7" t="s">
        <v>201</v>
      </c>
      <c r="D13" s="7" t="s">
        <v>30</v>
      </c>
      <c r="E13" s="7" t="s">
        <v>259</v>
      </c>
      <c r="F13" s="7">
        <v>1</v>
      </c>
      <c r="G13" s="7">
        <v>1</v>
      </c>
      <c r="H13" s="7" t="s">
        <v>189</v>
      </c>
      <c r="I13" s="7">
        <v>1</v>
      </c>
      <c r="J13" s="7">
        <v>1</v>
      </c>
      <c r="K13" s="7">
        <f t="shared" si="1"/>
        <v>2</v>
      </c>
      <c r="L13" s="7">
        <f t="shared" ref="L13:O20" si="6">INDEX(L$1:L$4,MATCH($H13,$J$1:$J$4,0))</f>
        <v>2</v>
      </c>
      <c r="M13" s="7">
        <f t="shared" si="6"/>
        <v>1</v>
      </c>
      <c r="N13" s="7">
        <f t="shared" si="6"/>
        <v>2</v>
      </c>
      <c r="O13" s="7">
        <f t="shared" si="6"/>
        <v>1</v>
      </c>
      <c r="P13" s="7">
        <v>100</v>
      </c>
      <c r="Q13" s="7" t="str">
        <f t="shared" ref="Q13" si="7">B13</f>
        <v>CPAMS-NoIRP</v>
      </c>
      <c r="AY13" s="7">
        <f t="shared" si="5"/>
        <v>0</v>
      </c>
      <c r="AZ13" s="7">
        <v>1</v>
      </c>
      <c r="BD13" s="7">
        <v>1</v>
      </c>
      <c r="BE13" s="7">
        <v>1</v>
      </c>
    </row>
    <row r="14" spans="1:59" s="7" customFormat="1">
      <c r="A14" s="17">
        <v>0</v>
      </c>
      <c r="B14" s="7" t="s">
        <v>209</v>
      </c>
      <c r="C14" s="7" t="s">
        <v>201</v>
      </c>
      <c r="D14" s="7" t="s">
        <v>30</v>
      </c>
      <c r="E14" s="7" t="s">
        <v>210</v>
      </c>
      <c r="F14" s="7">
        <v>1</v>
      </c>
      <c r="G14" s="7">
        <v>1</v>
      </c>
      <c r="H14" s="7" t="s">
        <v>189</v>
      </c>
      <c r="I14" s="7">
        <v>1</v>
      </c>
      <c r="J14" s="7">
        <v>1</v>
      </c>
      <c r="K14" s="7">
        <f t="shared" si="1"/>
        <v>2</v>
      </c>
      <c r="L14" s="7">
        <f t="shared" si="6"/>
        <v>2</v>
      </c>
      <c r="M14" s="7">
        <f t="shared" si="6"/>
        <v>1</v>
      </c>
      <c r="N14" s="7">
        <f t="shared" si="6"/>
        <v>2</v>
      </c>
      <c r="O14" s="7">
        <f t="shared" si="6"/>
        <v>1</v>
      </c>
      <c r="Q14" s="7" t="str">
        <f t="shared" ref="Q14" si="8">B14</f>
        <v>CPAMS-MRE</v>
      </c>
      <c r="AY14" s="7">
        <f t="shared" si="5"/>
        <v>0</v>
      </c>
      <c r="AZ14" s="7">
        <v>1</v>
      </c>
    </row>
    <row r="15" spans="1:59" s="7" customFormat="1">
      <c r="A15" s="17">
        <v>0</v>
      </c>
      <c r="B15" s="7" t="s">
        <v>217</v>
      </c>
      <c r="C15" s="7" t="s">
        <v>201</v>
      </c>
      <c r="D15" s="7" t="s">
        <v>30</v>
      </c>
      <c r="E15" s="7" t="s">
        <v>213</v>
      </c>
      <c r="F15" s="7">
        <v>1</v>
      </c>
      <c r="G15" s="7">
        <v>1</v>
      </c>
      <c r="H15" s="7" t="str">
        <f>H28</f>
        <v>Base Pams</v>
      </c>
      <c r="I15" s="7">
        <v>1</v>
      </c>
      <c r="J15" s="7">
        <v>1</v>
      </c>
      <c r="K15" s="7">
        <f t="shared" si="1"/>
        <v>2</v>
      </c>
      <c r="L15" s="7">
        <f t="shared" si="6"/>
        <v>2</v>
      </c>
      <c r="M15" s="7">
        <f t="shared" si="6"/>
        <v>1</v>
      </c>
      <c r="N15" s="7">
        <f t="shared" si="6"/>
        <v>2</v>
      </c>
      <c r="O15" s="7">
        <f t="shared" si="6"/>
        <v>1</v>
      </c>
      <c r="Q15" s="7" t="str">
        <f>B15</f>
        <v>CPAMS-RE</v>
      </c>
      <c r="AY15" s="7">
        <f t="shared" si="5"/>
        <v>0</v>
      </c>
      <c r="AZ15" s="7">
        <v>1</v>
      </c>
    </row>
    <row r="16" spans="1:59" s="7" customFormat="1">
      <c r="A16" s="17">
        <v>0</v>
      </c>
      <c r="B16" s="7" t="s">
        <v>342</v>
      </c>
      <c r="C16" s="7" t="s">
        <v>201</v>
      </c>
      <c r="D16" s="7" t="s">
        <v>30</v>
      </c>
      <c r="E16" s="7" t="s">
        <v>330</v>
      </c>
      <c r="F16" s="7">
        <v>1</v>
      </c>
      <c r="G16" s="7">
        <v>1</v>
      </c>
      <c r="H16" s="7" t="str">
        <f>J2</f>
        <v>Base Pams</v>
      </c>
      <c r="I16" s="7">
        <v>1</v>
      </c>
      <c r="J16" s="7">
        <v>1</v>
      </c>
      <c r="K16" s="7">
        <f t="shared" si="1"/>
        <v>2</v>
      </c>
      <c r="L16" s="7">
        <f t="shared" si="6"/>
        <v>2</v>
      </c>
      <c r="M16" s="7">
        <f t="shared" si="6"/>
        <v>1</v>
      </c>
      <c r="N16" s="7">
        <f t="shared" si="6"/>
        <v>2</v>
      </c>
      <c r="O16" s="7">
        <f t="shared" si="6"/>
        <v>1</v>
      </c>
      <c r="P16" s="7">
        <v>100</v>
      </c>
      <c r="Q16" s="7" t="str">
        <f>B16</f>
        <v>CPAMS-IRP</v>
      </c>
      <c r="AY16" s="7">
        <f t="shared" si="5"/>
        <v>0</v>
      </c>
      <c r="AZ16" s="7">
        <v>1</v>
      </c>
      <c r="BA16" s="7">
        <v>1</v>
      </c>
      <c r="BE16" s="7">
        <v>1</v>
      </c>
    </row>
    <row r="17" spans="1:57" s="7" customFormat="1">
      <c r="A17" s="17">
        <v>0</v>
      </c>
      <c r="B17" s="7" t="s">
        <v>374</v>
      </c>
      <c r="C17" s="7" t="s">
        <v>201</v>
      </c>
      <c r="D17" s="7" t="s">
        <v>30</v>
      </c>
      <c r="E17" s="7" t="s">
        <v>361</v>
      </c>
      <c r="F17" s="7">
        <v>1</v>
      </c>
      <c r="G17" s="7">
        <v>1</v>
      </c>
      <c r="H17" s="7" t="s">
        <v>189</v>
      </c>
      <c r="I17" s="7">
        <v>1</v>
      </c>
      <c r="J17" s="7">
        <v>1</v>
      </c>
      <c r="K17" s="7">
        <f t="shared" si="1"/>
        <v>2</v>
      </c>
      <c r="L17" s="7">
        <f t="shared" si="6"/>
        <v>2</v>
      </c>
      <c r="M17" s="7">
        <f t="shared" si="6"/>
        <v>1</v>
      </c>
      <c r="N17" s="7">
        <f t="shared" si="6"/>
        <v>2</v>
      </c>
      <c r="O17" s="7">
        <f t="shared" si="6"/>
        <v>1</v>
      </c>
      <c r="P17" s="7">
        <v>100</v>
      </c>
      <c r="Q17" s="7" t="str">
        <f>B17</f>
        <v>CPAMS-IRPN</v>
      </c>
      <c r="AY17" s="7">
        <f t="shared" ref="AY17:AY18" si="9">IF(LEN(B17)&gt;30,1,0)</f>
        <v>0</v>
      </c>
      <c r="AZ17" s="7">
        <v>1</v>
      </c>
      <c r="BA17" s="7">
        <v>1</v>
      </c>
      <c r="BE17" s="7">
        <v>1</v>
      </c>
    </row>
    <row r="18" spans="1:57" s="7" customFormat="1">
      <c r="A18" s="17">
        <v>0</v>
      </c>
      <c r="B18" s="7" t="s">
        <v>376</v>
      </c>
      <c r="C18" s="7" t="s">
        <v>201</v>
      </c>
      <c r="D18" s="7" t="s">
        <v>30</v>
      </c>
      <c r="E18" s="7" t="s">
        <v>332</v>
      </c>
      <c r="F18" s="7">
        <v>1</v>
      </c>
      <c r="G18" s="7">
        <v>1</v>
      </c>
      <c r="H18" s="7" t="s">
        <v>189</v>
      </c>
      <c r="I18" s="7">
        <v>1</v>
      </c>
      <c r="J18" s="7">
        <v>1</v>
      </c>
      <c r="K18" s="7">
        <f t="shared" si="1"/>
        <v>2</v>
      </c>
      <c r="L18" s="7">
        <f t="shared" si="1"/>
        <v>2</v>
      </c>
      <c r="M18" s="7">
        <f t="shared" si="1"/>
        <v>1</v>
      </c>
      <c r="N18" s="7">
        <f t="shared" si="1"/>
        <v>2</v>
      </c>
      <c r="O18" s="7">
        <f t="shared" si="1"/>
        <v>1</v>
      </c>
      <c r="P18" s="7">
        <v>100</v>
      </c>
      <c r="Q18" s="7" t="str">
        <f t="shared" ref="Q18" si="10">B18</f>
        <v>CPAMS-IRPL</v>
      </c>
      <c r="AY18" s="7">
        <f t="shared" si="9"/>
        <v>0</v>
      </c>
      <c r="AZ18" s="7">
        <v>1</v>
      </c>
      <c r="BE18" s="7">
        <v>1</v>
      </c>
    </row>
    <row r="19" spans="1:57" s="7" customFormat="1">
      <c r="A19" s="17">
        <v>0</v>
      </c>
      <c r="B19" s="7" t="s">
        <v>341</v>
      </c>
      <c r="C19" s="7" t="s">
        <v>201</v>
      </c>
      <c r="D19" s="7" t="s">
        <v>31</v>
      </c>
      <c r="E19" s="7" t="s">
        <v>330</v>
      </c>
      <c r="F19" s="7">
        <v>1</v>
      </c>
      <c r="G19" s="7">
        <v>1</v>
      </c>
      <c r="H19" s="7" t="s">
        <v>189</v>
      </c>
      <c r="I19" s="7">
        <v>1</v>
      </c>
      <c r="J19" s="7">
        <v>1</v>
      </c>
      <c r="K19" s="7">
        <f t="shared" si="1"/>
        <v>2</v>
      </c>
      <c r="L19" s="7">
        <f t="shared" si="6"/>
        <v>2</v>
      </c>
      <c r="M19" s="7">
        <f t="shared" si="6"/>
        <v>1</v>
      </c>
      <c r="N19" s="7">
        <f t="shared" si="6"/>
        <v>2</v>
      </c>
      <c r="O19" s="7">
        <f t="shared" si="6"/>
        <v>1</v>
      </c>
      <c r="P19" s="7">
        <v>100</v>
      </c>
      <c r="Q19" s="7" t="str">
        <f>B19</f>
        <v>CPAMS-HiGr-IRP</v>
      </c>
      <c r="AY19" s="7">
        <f t="shared" ref="AY19" si="11">IF(LEN(B19)&gt;30,1,0)</f>
        <v>0</v>
      </c>
      <c r="AZ19" s="7">
        <v>1</v>
      </c>
      <c r="BA19" s="7">
        <v>1</v>
      </c>
      <c r="BE19" s="7">
        <v>1</v>
      </c>
    </row>
    <row r="20" spans="1:57" s="7" customFormat="1">
      <c r="A20" s="17">
        <v>0</v>
      </c>
      <c r="B20" s="7" t="s">
        <v>373</v>
      </c>
      <c r="C20" s="7" t="s">
        <v>201</v>
      </c>
      <c r="D20" s="7" t="s">
        <v>31</v>
      </c>
      <c r="E20" s="7" t="s">
        <v>361</v>
      </c>
      <c r="F20" s="7">
        <v>1</v>
      </c>
      <c r="G20" s="7">
        <v>1</v>
      </c>
      <c r="H20" s="7" t="s">
        <v>189</v>
      </c>
      <c r="I20" s="7">
        <v>1</v>
      </c>
      <c r="J20" s="7">
        <v>1</v>
      </c>
      <c r="K20" s="7">
        <f t="shared" si="1"/>
        <v>2</v>
      </c>
      <c r="L20" s="7">
        <f t="shared" si="6"/>
        <v>2</v>
      </c>
      <c r="M20" s="7">
        <f t="shared" si="6"/>
        <v>1</v>
      </c>
      <c r="N20" s="7">
        <f t="shared" si="6"/>
        <v>2</v>
      </c>
      <c r="O20" s="7">
        <f t="shared" si="6"/>
        <v>1</v>
      </c>
      <c r="P20" s="7">
        <v>100</v>
      </c>
      <c r="Q20" s="7" t="str">
        <f>B20</f>
        <v>CPAMS-HiGr-IRPN</v>
      </c>
      <c r="AY20" s="7">
        <f t="shared" ref="AY20:AY21" si="12">IF(LEN(B20)&gt;30,1,0)</f>
        <v>0</v>
      </c>
      <c r="AZ20" s="7">
        <v>1</v>
      </c>
      <c r="BA20" s="7">
        <v>1</v>
      </c>
      <c r="BE20" s="7">
        <v>1</v>
      </c>
    </row>
    <row r="21" spans="1:57" s="7" customFormat="1">
      <c r="A21" s="17">
        <v>0</v>
      </c>
      <c r="B21" s="7" t="s">
        <v>375</v>
      </c>
      <c r="C21" s="7" t="s">
        <v>201</v>
      </c>
      <c r="D21" s="7" t="s">
        <v>31</v>
      </c>
      <c r="E21" s="7" t="s">
        <v>332</v>
      </c>
      <c r="F21" s="7">
        <v>1</v>
      </c>
      <c r="G21" s="7">
        <v>1</v>
      </c>
      <c r="H21" s="7" t="s">
        <v>189</v>
      </c>
      <c r="I21" s="7">
        <v>1</v>
      </c>
      <c r="J21" s="7">
        <v>1</v>
      </c>
      <c r="K21" s="7">
        <f t="shared" si="1"/>
        <v>2</v>
      </c>
      <c r="L21" s="7">
        <f t="shared" si="1"/>
        <v>2</v>
      </c>
      <c r="M21" s="7">
        <f t="shared" si="1"/>
        <v>1</v>
      </c>
      <c r="N21" s="7">
        <f t="shared" si="1"/>
        <v>2</v>
      </c>
      <c r="O21" s="7">
        <f t="shared" si="1"/>
        <v>1</v>
      </c>
      <c r="P21" s="7">
        <v>100</v>
      </c>
      <c r="Q21" s="7" t="str">
        <f t="shared" ref="Q21" si="13">B21</f>
        <v>CPAMS-HiGr-IRPL</v>
      </c>
      <c r="AY21" s="7">
        <f t="shared" si="12"/>
        <v>0</v>
      </c>
      <c r="AZ21" s="7">
        <v>1</v>
      </c>
      <c r="BE21" s="7">
        <v>1</v>
      </c>
    </row>
    <row r="22" spans="1:57">
      <c r="A22" s="17">
        <v>0</v>
      </c>
      <c r="B22" t="s">
        <v>195</v>
      </c>
      <c r="C22" t="s">
        <v>201</v>
      </c>
      <c r="D22" s="7" t="s">
        <v>30</v>
      </c>
      <c r="E22" t="s">
        <v>196</v>
      </c>
      <c r="F22" s="7">
        <v>1</v>
      </c>
      <c r="G22" s="7">
        <v>1</v>
      </c>
      <c r="H22" s="7" t="s">
        <v>191</v>
      </c>
      <c r="I22" s="7">
        <v>1</v>
      </c>
      <c r="J22" s="7">
        <v>1</v>
      </c>
      <c r="K22" s="7">
        <f t="shared" si="1"/>
        <v>1</v>
      </c>
      <c r="L22" s="7">
        <f t="shared" ref="L22:L27" si="14">INDEX(L$1:L$4,MATCH($H22,$J$1:$J$4,0))</f>
        <v>1</v>
      </c>
      <c r="M22" s="7">
        <f t="shared" ref="M22:O22" si="15">INDEX(M$1:M$4,MATCH($H22,$J$1:$J$4,0))</f>
        <v>3</v>
      </c>
      <c r="N22" s="7">
        <f t="shared" si="15"/>
        <v>3</v>
      </c>
      <c r="O22" s="7">
        <f t="shared" si="15"/>
        <v>3</v>
      </c>
      <c r="P22" s="7"/>
      <c r="Q22" s="7" t="str">
        <f>B22</f>
        <v>HiPam</v>
      </c>
      <c r="AY22" s="7">
        <f t="shared" si="5"/>
        <v>0</v>
      </c>
      <c r="AZ22" s="7">
        <v>1</v>
      </c>
    </row>
    <row r="23" spans="1:57" s="7" customFormat="1">
      <c r="A23" s="17">
        <v>0</v>
      </c>
      <c r="B23" s="7" t="s">
        <v>223</v>
      </c>
      <c r="C23" s="7" t="s">
        <v>201</v>
      </c>
      <c r="D23" s="7" t="s">
        <v>30</v>
      </c>
      <c r="E23" s="7" t="s">
        <v>224</v>
      </c>
      <c r="F23" s="7">
        <v>1</v>
      </c>
      <c r="G23" s="7">
        <v>0</v>
      </c>
      <c r="H23" s="7" t="s">
        <v>188</v>
      </c>
      <c r="I23" s="7">
        <v>1</v>
      </c>
      <c r="J23" s="7">
        <v>1</v>
      </c>
      <c r="K23" s="7">
        <f>INDEX(K$1:K$4,MATCH($H23,$J$1:$J$4,0))</f>
        <v>-1</v>
      </c>
      <c r="L23" s="7">
        <f t="shared" si="14"/>
        <v>-1</v>
      </c>
      <c r="M23" s="7">
        <f t="shared" ref="M23:O27" si="16">INDEX(M$1:M$4,MATCH($H23,$J$1:$J$4,0))</f>
        <v>-1</v>
      </c>
      <c r="N23" s="7">
        <f t="shared" si="16"/>
        <v>1</v>
      </c>
      <c r="O23" s="7">
        <f t="shared" si="16"/>
        <v>-1</v>
      </c>
      <c r="Q23" s="7" t="str">
        <f t="shared" ref="Q23" si="17">B23</f>
        <v>NoPAMS_NDP</v>
      </c>
      <c r="AY23" s="7">
        <f t="shared" si="5"/>
        <v>0</v>
      </c>
      <c r="AZ23" s="7">
        <v>1</v>
      </c>
    </row>
    <row r="24" spans="1:57" s="7" customFormat="1">
      <c r="A24" s="17">
        <v>0</v>
      </c>
      <c r="B24" s="7" t="s">
        <v>225</v>
      </c>
      <c r="C24" s="7" t="s">
        <v>201</v>
      </c>
      <c r="D24" s="7" t="s">
        <v>30</v>
      </c>
      <c r="E24" s="7" t="s">
        <v>225</v>
      </c>
      <c r="F24" s="7">
        <v>1</v>
      </c>
      <c r="G24" s="7">
        <v>0</v>
      </c>
      <c r="H24" s="7" t="s">
        <v>189</v>
      </c>
      <c r="I24" s="7">
        <v>1</v>
      </c>
      <c r="J24" s="7">
        <v>1</v>
      </c>
      <c r="K24" s="7">
        <f>INDEX(K$1:K$4,MATCH($H24,$J$1:$J$4,0))</f>
        <v>2</v>
      </c>
      <c r="L24" s="7">
        <f t="shared" si="14"/>
        <v>2</v>
      </c>
      <c r="M24" s="7">
        <f t="shared" si="16"/>
        <v>1</v>
      </c>
      <c r="N24" s="7">
        <f t="shared" si="16"/>
        <v>2</v>
      </c>
      <c r="O24" s="7">
        <f t="shared" si="16"/>
        <v>1</v>
      </c>
      <c r="Q24" s="7" t="str">
        <f t="shared" ref="Q24" si="18">B24</f>
        <v>CPAMS_NDP</v>
      </c>
      <c r="AY24" s="7">
        <f t="shared" si="5"/>
        <v>0</v>
      </c>
      <c r="AZ24" s="7">
        <v>1</v>
      </c>
    </row>
    <row r="25" spans="1:57" s="7" customFormat="1">
      <c r="A25" s="17">
        <v>0</v>
      </c>
      <c r="B25" s="7" t="s">
        <v>229</v>
      </c>
      <c r="C25" s="7" t="s">
        <v>201</v>
      </c>
      <c r="D25" s="7" t="s">
        <v>30</v>
      </c>
      <c r="E25" s="7" t="s">
        <v>226</v>
      </c>
      <c r="F25" s="7">
        <v>1</v>
      </c>
      <c r="G25" s="7">
        <v>1</v>
      </c>
      <c r="H25" s="7" t="s">
        <v>188</v>
      </c>
      <c r="I25" s="7">
        <v>1</v>
      </c>
      <c r="J25" s="7">
        <v>1</v>
      </c>
      <c r="K25" s="7">
        <f>INDEX(K$1:K$4,MATCH($H25,$J$1:$J$4,0))</f>
        <v>-1</v>
      </c>
      <c r="L25" s="7">
        <f t="shared" si="14"/>
        <v>-1</v>
      </c>
      <c r="M25" s="7">
        <f t="shared" si="16"/>
        <v>-1</v>
      </c>
      <c r="N25" s="7">
        <f t="shared" si="16"/>
        <v>1</v>
      </c>
      <c r="O25" s="7">
        <f t="shared" si="16"/>
        <v>-1</v>
      </c>
      <c r="Q25" s="7" t="str">
        <f t="shared" ref="Q25" si="19">B25</f>
        <v>NoPAMS-LEAF</v>
      </c>
      <c r="AY25" s="7">
        <f t="shared" si="5"/>
        <v>0</v>
      </c>
      <c r="AZ25" s="7">
        <v>1</v>
      </c>
      <c r="BB25" s="7">
        <v>1</v>
      </c>
    </row>
    <row r="26" spans="1:57" s="7" customFormat="1">
      <c r="A26" s="17">
        <v>0</v>
      </c>
      <c r="B26" s="7" t="s">
        <v>230</v>
      </c>
      <c r="C26" s="7" t="s">
        <v>201</v>
      </c>
      <c r="D26" s="7" t="s">
        <v>30</v>
      </c>
      <c r="E26" s="7" t="s">
        <v>228</v>
      </c>
      <c r="F26" s="7">
        <v>1</v>
      </c>
      <c r="G26" s="7">
        <v>1</v>
      </c>
      <c r="H26" s="7" t="s">
        <v>189</v>
      </c>
      <c r="I26" s="7">
        <v>1</v>
      </c>
      <c r="J26" s="7">
        <v>1</v>
      </c>
      <c r="K26" s="7">
        <f>INDEX(K$1:K$4,MATCH($H26,$J$1:$J$4,0))</f>
        <v>2</v>
      </c>
      <c r="L26" s="7">
        <f t="shared" si="14"/>
        <v>2</v>
      </c>
      <c r="M26" s="7">
        <f t="shared" si="16"/>
        <v>1</v>
      </c>
      <c r="N26" s="7">
        <f t="shared" si="16"/>
        <v>2</v>
      </c>
      <c r="O26" s="7">
        <f t="shared" si="16"/>
        <v>1</v>
      </c>
      <c r="Q26" s="7" t="str">
        <f t="shared" ref="Q26" si="20">B26</f>
        <v>CPAMS-LEAF</v>
      </c>
      <c r="AY26" s="7">
        <f t="shared" si="5"/>
        <v>0</v>
      </c>
      <c r="AZ26" s="7">
        <v>1</v>
      </c>
    </row>
    <row r="27" spans="1:57" s="7" customFormat="1">
      <c r="A27" s="17">
        <v>0</v>
      </c>
      <c r="B27" s="7" t="s">
        <v>231</v>
      </c>
      <c r="C27" s="7" t="s">
        <v>201</v>
      </c>
      <c r="D27" s="7" t="s">
        <v>30</v>
      </c>
      <c r="E27" s="7" t="s">
        <v>227</v>
      </c>
      <c r="F27" s="7">
        <v>1</v>
      </c>
      <c r="G27" s="7">
        <v>1</v>
      </c>
      <c r="H27" s="7" t="s">
        <v>189</v>
      </c>
      <c r="I27" s="7">
        <v>1</v>
      </c>
      <c r="J27" s="7">
        <v>1</v>
      </c>
      <c r="K27" s="7">
        <f>INDEX(K$1:K$4,MATCH($H27,$J$1:$J$4,0))</f>
        <v>2</v>
      </c>
      <c r="L27" s="7">
        <f t="shared" si="14"/>
        <v>2</v>
      </c>
      <c r="M27" s="7">
        <f t="shared" si="16"/>
        <v>1</v>
      </c>
      <c r="N27" s="7">
        <f t="shared" si="16"/>
        <v>2</v>
      </c>
      <c r="O27" s="7">
        <f t="shared" si="16"/>
        <v>1</v>
      </c>
      <c r="Q27" s="7" t="str">
        <f t="shared" ref="Q27" si="21">B27</f>
        <v>CPAMS-RE-LEAF</v>
      </c>
      <c r="AY27" s="7">
        <f t="shared" si="5"/>
        <v>0</v>
      </c>
      <c r="AZ27" s="7">
        <v>1</v>
      </c>
    </row>
    <row r="28" spans="1:57" s="7" customFormat="1">
      <c r="A28" s="17">
        <v>0</v>
      </c>
      <c r="B28" s="7" t="s">
        <v>194</v>
      </c>
      <c r="C28" s="7" t="s">
        <v>201</v>
      </c>
      <c r="D28" s="7" t="s">
        <v>31</v>
      </c>
      <c r="E28" s="7" t="s">
        <v>198</v>
      </c>
      <c r="F28" s="7">
        <v>1</v>
      </c>
      <c r="G28" s="7">
        <v>1</v>
      </c>
      <c r="H28" s="7" t="str">
        <f>H16</f>
        <v>Base Pams</v>
      </c>
      <c r="I28" s="7">
        <v>1</v>
      </c>
      <c r="J28" s="7">
        <v>1</v>
      </c>
      <c r="K28" s="7">
        <f t="shared" ref="K28:K84" si="22">INDEX(K$1:K$4,MATCH($H28,$J$1:$J$4,0))</f>
        <v>2</v>
      </c>
      <c r="L28" s="7">
        <f t="shared" si="2"/>
        <v>2</v>
      </c>
      <c r="M28" s="7">
        <f t="shared" si="2"/>
        <v>1</v>
      </c>
      <c r="N28" s="7">
        <f t="shared" si="2"/>
        <v>2</v>
      </c>
      <c r="O28" s="7">
        <f t="shared" si="2"/>
        <v>1</v>
      </c>
      <c r="Q28" s="7" t="str">
        <f t="shared" ref="Q28:Q32" si="23">B28</f>
        <v>CPAMS-TrGr</v>
      </c>
      <c r="AY28" s="7">
        <f t="shared" si="5"/>
        <v>0</v>
      </c>
      <c r="AZ28" s="7">
        <v>1</v>
      </c>
    </row>
    <row r="29" spans="1:57">
      <c r="A29" s="17">
        <v>0</v>
      </c>
      <c r="B29" s="7" t="s">
        <v>218</v>
      </c>
      <c r="C29" t="s">
        <v>201</v>
      </c>
      <c r="D29" s="7" t="s">
        <v>31</v>
      </c>
      <c r="E29" t="s">
        <v>214</v>
      </c>
      <c r="F29" s="7">
        <v>1</v>
      </c>
      <c r="G29" s="7">
        <v>1</v>
      </c>
      <c r="H29" s="7" t="s">
        <v>189</v>
      </c>
      <c r="I29" s="7">
        <v>1</v>
      </c>
      <c r="J29" s="7">
        <v>1</v>
      </c>
      <c r="K29" s="7">
        <f t="shared" si="22"/>
        <v>2</v>
      </c>
      <c r="L29" s="7">
        <f t="shared" si="2"/>
        <v>2</v>
      </c>
      <c r="M29" s="7">
        <f t="shared" si="2"/>
        <v>1</v>
      </c>
      <c r="N29" s="7">
        <f t="shared" si="2"/>
        <v>2</v>
      </c>
      <c r="O29" s="7">
        <f t="shared" si="2"/>
        <v>1</v>
      </c>
      <c r="P29" s="7"/>
      <c r="Q29" s="7" t="str">
        <f t="shared" si="23"/>
        <v>CPAMS-TrGr-RE</v>
      </c>
      <c r="AY29" s="7">
        <f t="shared" si="5"/>
        <v>0</v>
      </c>
      <c r="AZ29" s="7">
        <v>1</v>
      </c>
    </row>
    <row r="30" spans="1:57" s="7" customFormat="1">
      <c r="A30" s="17">
        <v>0</v>
      </c>
      <c r="B30" s="7" t="s">
        <v>221</v>
      </c>
      <c r="C30" s="7" t="s">
        <v>201</v>
      </c>
      <c r="D30" s="7" t="s">
        <v>31</v>
      </c>
      <c r="E30" s="7" t="s">
        <v>222</v>
      </c>
      <c r="F30" s="7">
        <v>1</v>
      </c>
      <c r="G30" s="7">
        <v>1</v>
      </c>
      <c r="H30" s="7" t="s">
        <v>189</v>
      </c>
      <c r="I30" s="7">
        <v>1</v>
      </c>
      <c r="J30" s="7">
        <v>1</v>
      </c>
      <c r="K30" s="7">
        <f t="shared" si="22"/>
        <v>2</v>
      </c>
      <c r="L30" s="7">
        <f t="shared" si="2"/>
        <v>2</v>
      </c>
      <c r="M30" s="7">
        <f t="shared" si="2"/>
        <v>1</v>
      </c>
      <c r="N30" s="7">
        <f t="shared" si="2"/>
        <v>2</v>
      </c>
      <c r="O30" s="7">
        <f t="shared" si="2"/>
        <v>1</v>
      </c>
      <c r="Q30" s="7" t="str">
        <f t="shared" ref="Q30" si="24">B30</f>
        <v>CPAMS-TrGr-MRE</v>
      </c>
      <c r="AY30" s="7">
        <f t="shared" si="5"/>
        <v>0</v>
      </c>
      <c r="AZ30" s="7">
        <v>1</v>
      </c>
    </row>
    <row r="31" spans="1:57" s="7" customFormat="1">
      <c r="A31" s="17">
        <v>0</v>
      </c>
      <c r="B31" s="7" t="s">
        <v>219</v>
      </c>
      <c r="C31" s="7" t="s">
        <v>201</v>
      </c>
      <c r="D31" s="7" t="s">
        <v>31</v>
      </c>
      <c r="E31" s="7" t="s">
        <v>220</v>
      </c>
      <c r="F31" s="7">
        <v>1</v>
      </c>
      <c r="G31" s="7">
        <v>1</v>
      </c>
      <c r="H31" s="7" t="s">
        <v>190</v>
      </c>
      <c r="I31" s="7">
        <v>1</v>
      </c>
      <c r="J31" s="7">
        <v>1</v>
      </c>
      <c r="K31" s="7">
        <f>INDEX(K$1:K$4,MATCH($H31,$J$1:$J$4,0))</f>
        <v>2</v>
      </c>
      <c r="L31" s="7">
        <f>INDEX(L$1:L$4,MATCH($H31,$J$1:$J$4,0))</f>
        <v>2</v>
      </c>
      <c r="M31" s="7">
        <f>INDEX(M$1:M$4,MATCH($H31,$J$1:$J$4,0))</f>
        <v>2</v>
      </c>
      <c r="N31" s="7">
        <f>INDEX(N$1:N$4,MATCH($H31,$J$1:$J$4,0))</f>
        <v>1</v>
      </c>
      <c r="O31" s="7">
        <f>INDEX(O$1:O$4,MATCH($H31,$J$1:$J$4,0))</f>
        <v>2</v>
      </c>
      <c r="Q31" s="7" t="str">
        <f>B31</f>
        <v>LoPAMS-MRE-TrGr</v>
      </c>
      <c r="AY31" s="7">
        <f t="shared" si="5"/>
        <v>0</v>
      </c>
      <c r="AZ31" s="7">
        <v>1</v>
      </c>
    </row>
    <row r="32" spans="1:57">
      <c r="A32" s="17">
        <v>0</v>
      </c>
      <c r="B32" t="s">
        <v>197</v>
      </c>
      <c r="C32" t="s">
        <v>201</v>
      </c>
      <c r="D32" s="7" t="s">
        <v>31</v>
      </c>
      <c r="E32" s="7" t="s">
        <v>199</v>
      </c>
      <c r="F32" s="7">
        <v>1</v>
      </c>
      <c r="G32" s="7">
        <v>1</v>
      </c>
      <c r="H32" s="7" t="s">
        <v>188</v>
      </c>
      <c r="I32" s="7">
        <v>1</v>
      </c>
      <c r="J32" s="7">
        <v>1</v>
      </c>
      <c r="K32" s="7">
        <f t="shared" si="22"/>
        <v>-1</v>
      </c>
      <c r="L32" s="7">
        <f t="shared" si="2"/>
        <v>-1</v>
      </c>
      <c r="M32" s="7">
        <f t="shared" si="2"/>
        <v>-1</v>
      </c>
      <c r="N32" s="7">
        <f t="shared" si="2"/>
        <v>1</v>
      </c>
      <c r="O32" s="7">
        <f t="shared" si="2"/>
        <v>-1</v>
      </c>
      <c r="P32" s="7"/>
      <c r="Q32" s="7" t="str">
        <f t="shared" si="23"/>
        <v>NoPAMS-TrGr-FrcdCoal</v>
      </c>
      <c r="AY32" s="7">
        <f t="shared" si="5"/>
        <v>0</v>
      </c>
      <c r="AZ32" s="7">
        <v>1</v>
      </c>
    </row>
    <row r="33" spans="1:57" s="7" customFormat="1">
      <c r="A33" s="17">
        <v>0</v>
      </c>
      <c r="B33" s="7" t="s">
        <v>323</v>
      </c>
      <c r="C33" s="7" t="s">
        <v>201</v>
      </c>
      <c r="D33" s="7" t="s">
        <v>31</v>
      </c>
      <c r="E33" s="7" t="s">
        <v>237</v>
      </c>
      <c r="F33" s="7">
        <v>1</v>
      </c>
      <c r="G33" s="7">
        <v>1</v>
      </c>
      <c r="H33" s="7" t="s">
        <v>188</v>
      </c>
      <c r="I33" s="7">
        <v>1</v>
      </c>
      <c r="J33" s="7">
        <v>1</v>
      </c>
      <c r="K33" s="7">
        <f t="shared" ref="K33:O61" si="25">INDEX(K$1:K$4,MATCH($H33,$J$1:$J$4,0))</f>
        <v>-1</v>
      </c>
      <c r="L33" s="7">
        <f t="shared" si="25"/>
        <v>-1</v>
      </c>
      <c r="M33" s="7">
        <f t="shared" si="25"/>
        <v>-1</v>
      </c>
      <c r="N33" s="7">
        <f t="shared" si="25"/>
        <v>1</v>
      </c>
      <c r="O33" s="7">
        <f t="shared" si="25"/>
        <v>-1</v>
      </c>
      <c r="P33" s="7">
        <v>100</v>
      </c>
      <c r="Q33" s="7" t="str">
        <f t="shared" ref="Q33:Q39" si="26">B33</f>
        <v>NoPAMS-HiGr</v>
      </c>
      <c r="AY33" s="7">
        <f t="shared" si="5"/>
        <v>0</v>
      </c>
      <c r="AZ33" s="7">
        <v>1</v>
      </c>
      <c r="BE33" s="7">
        <v>1</v>
      </c>
    </row>
    <row r="34" spans="1:57" s="7" customFormat="1">
      <c r="A34" s="17">
        <v>0</v>
      </c>
      <c r="B34" s="7" t="s">
        <v>359</v>
      </c>
      <c r="C34" s="7" t="s">
        <v>201</v>
      </c>
      <c r="D34" s="7" t="s">
        <v>31</v>
      </c>
      <c r="E34" s="7" t="s">
        <v>358</v>
      </c>
      <c r="F34" s="7">
        <v>1</v>
      </c>
      <c r="G34" s="7">
        <v>1</v>
      </c>
      <c r="H34" s="7" t="s">
        <v>188</v>
      </c>
      <c r="I34" s="7">
        <v>1</v>
      </c>
      <c r="J34" s="7">
        <v>1</v>
      </c>
      <c r="K34" s="7">
        <f t="shared" si="25"/>
        <v>-1</v>
      </c>
      <c r="L34" s="7">
        <f t="shared" si="25"/>
        <v>-1</v>
      </c>
      <c r="M34" s="7">
        <f t="shared" si="25"/>
        <v>-1</v>
      </c>
      <c r="N34" s="7">
        <f t="shared" si="25"/>
        <v>1</v>
      </c>
      <c r="O34" s="7">
        <f t="shared" si="25"/>
        <v>-1</v>
      </c>
      <c r="P34" s="7">
        <v>100</v>
      </c>
      <c r="Q34" s="7" t="str">
        <f t="shared" ref="Q34" si="27">B34</f>
        <v>NoPAMS-HiGr-IRP</v>
      </c>
      <c r="AY34" s="7">
        <f t="shared" ref="AY34" si="28">IF(LEN(B34)&gt;30,1,0)</f>
        <v>0</v>
      </c>
      <c r="AZ34" s="7">
        <v>1</v>
      </c>
      <c r="BE34" s="7">
        <v>1</v>
      </c>
    </row>
    <row r="35" spans="1:57" s="7" customFormat="1">
      <c r="A35" s="17">
        <v>0</v>
      </c>
      <c r="B35" s="7" t="s">
        <v>362</v>
      </c>
      <c r="C35" s="7" t="s">
        <v>201</v>
      </c>
      <c r="D35" s="7" t="s">
        <v>31</v>
      </c>
      <c r="E35" s="7" t="s">
        <v>363</v>
      </c>
      <c r="F35" s="7">
        <v>1</v>
      </c>
      <c r="G35" s="7">
        <v>1</v>
      </c>
      <c r="H35" s="7" t="s">
        <v>188</v>
      </c>
      <c r="I35" s="7">
        <v>1</v>
      </c>
      <c r="J35" s="7">
        <v>1</v>
      </c>
      <c r="K35" s="7">
        <f t="shared" si="25"/>
        <v>-1</v>
      </c>
      <c r="L35" s="7">
        <f t="shared" si="25"/>
        <v>-1</v>
      </c>
      <c r="M35" s="7">
        <f t="shared" si="25"/>
        <v>-1</v>
      </c>
      <c r="N35" s="7">
        <f t="shared" si="25"/>
        <v>1</v>
      </c>
      <c r="O35" s="7">
        <f t="shared" si="25"/>
        <v>-1</v>
      </c>
      <c r="P35" s="7">
        <v>100</v>
      </c>
      <c r="Q35" s="7" t="str">
        <f t="shared" ref="Q35:Q36" si="29">B35</f>
        <v>NoPAMS-HiGr-IRPN</v>
      </c>
      <c r="AY35" s="7">
        <f t="shared" ref="AY35:AY36" si="30">IF(LEN(B35)&gt;30,1,0)</f>
        <v>0</v>
      </c>
      <c r="AZ35" s="7">
        <v>1</v>
      </c>
      <c r="BE35" s="7">
        <v>1</v>
      </c>
    </row>
    <row r="36" spans="1:57" s="7" customFormat="1">
      <c r="A36" s="17">
        <v>0</v>
      </c>
      <c r="B36" s="7" t="s">
        <v>379</v>
      </c>
      <c r="C36" s="7" t="s">
        <v>201</v>
      </c>
      <c r="D36" s="7" t="s">
        <v>31</v>
      </c>
      <c r="E36" s="7" t="s">
        <v>378</v>
      </c>
      <c r="F36" s="7">
        <v>1</v>
      </c>
      <c r="G36" s="7">
        <v>1</v>
      </c>
      <c r="H36" s="7" t="s">
        <v>188</v>
      </c>
      <c r="I36" s="7">
        <v>1</v>
      </c>
      <c r="J36" s="7">
        <v>1</v>
      </c>
      <c r="K36" s="7">
        <f t="shared" si="25"/>
        <v>-1</v>
      </c>
      <c r="L36" s="7">
        <f t="shared" si="25"/>
        <v>-1</v>
      </c>
      <c r="M36" s="7">
        <f t="shared" si="25"/>
        <v>-1</v>
      </c>
      <c r="N36" s="7">
        <f t="shared" si="25"/>
        <v>1</v>
      </c>
      <c r="O36" s="7">
        <f t="shared" si="25"/>
        <v>-1</v>
      </c>
      <c r="P36" s="7">
        <v>100</v>
      </c>
      <c r="Q36" s="7" t="str">
        <f t="shared" si="29"/>
        <v>NoPAMS-HiGr-IRPL</v>
      </c>
      <c r="AY36" s="7">
        <f t="shared" si="30"/>
        <v>0</v>
      </c>
      <c r="AZ36" s="7">
        <v>1</v>
      </c>
      <c r="BE36" s="7">
        <v>1</v>
      </c>
    </row>
    <row r="37" spans="1:57" s="7" customFormat="1">
      <c r="A37" s="17">
        <v>0</v>
      </c>
      <c r="B37" s="7" t="s">
        <v>338</v>
      </c>
      <c r="C37" s="7" t="s">
        <v>201</v>
      </c>
      <c r="D37" s="7" t="s">
        <v>31</v>
      </c>
      <c r="E37" s="7" t="s">
        <v>237</v>
      </c>
      <c r="F37" s="7">
        <v>1</v>
      </c>
      <c r="G37" s="7">
        <v>1</v>
      </c>
      <c r="H37" s="7" t="s">
        <v>188</v>
      </c>
      <c r="I37" s="7">
        <v>1</v>
      </c>
      <c r="J37" s="7">
        <v>1</v>
      </c>
      <c r="K37" s="7">
        <f t="shared" si="25"/>
        <v>-1</v>
      </c>
      <c r="L37" s="7">
        <f t="shared" si="25"/>
        <v>-1</v>
      </c>
      <c r="M37" s="7">
        <f t="shared" si="25"/>
        <v>-1</v>
      </c>
      <c r="N37" s="7">
        <f t="shared" si="25"/>
        <v>1</v>
      </c>
      <c r="O37" s="7">
        <f t="shared" si="25"/>
        <v>-1</v>
      </c>
      <c r="P37" s="7">
        <v>8</v>
      </c>
      <c r="Q37" s="7" t="str">
        <f t="shared" si="26"/>
        <v>NoPAMS-HiGr-CAP0800</v>
      </c>
      <c r="AY37" s="7">
        <f t="shared" ref="AY37" si="31">IF(LEN(B37)&gt;30,1,0)</f>
        <v>0</v>
      </c>
      <c r="AZ37" s="7">
        <v>1</v>
      </c>
      <c r="BE37" s="7">
        <v>1</v>
      </c>
    </row>
    <row r="38" spans="1:57" s="7" customFormat="1">
      <c r="A38" s="17">
        <v>0</v>
      </c>
      <c r="B38" s="7" t="s">
        <v>337</v>
      </c>
      <c r="C38" s="7" t="s">
        <v>201</v>
      </c>
      <c r="D38" s="7" t="s">
        <v>31</v>
      </c>
      <c r="E38" s="7" t="s">
        <v>237</v>
      </c>
      <c r="F38" s="7">
        <v>1</v>
      </c>
      <c r="G38" s="7">
        <v>1</v>
      </c>
      <c r="H38" s="7" t="s">
        <v>188</v>
      </c>
      <c r="I38" s="7">
        <v>1</v>
      </c>
      <c r="J38" s="7">
        <v>1</v>
      </c>
      <c r="K38" s="7">
        <f t="shared" si="25"/>
        <v>-1</v>
      </c>
      <c r="L38" s="7">
        <f t="shared" si="25"/>
        <v>-1</v>
      </c>
      <c r="M38" s="7">
        <f t="shared" si="25"/>
        <v>-1</v>
      </c>
      <c r="N38" s="7">
        <f t="shared" si="25"/>
        <v>1</v>
      </c>
      <c r="O38" s="7">
        <f t="shared" si="25"/>
        <v>-1</v>
      </c>
      <c r="P38" s="7">
        <v>7.5</v>
      </c>
      <c r="Q38" s="7" t="str">
        <f t="shared" ref="Q38" si="32">B38</f>
        <v>NoPAMS-HiGr-CAP0750</v>
      </c>
      <c r="AY38" s="7">
        <f t="shared" si="5"/>
        <v>0</v>
      </c>
      <c r="AZ38" s="7">
        <v>1</v>
      </c>
      <c r="BE38" s="7">
        <v>1</v>
      </c>
    </row>
    <row r="39" spans="1:57" s="7" customFormat="1">
      <c r="A39" s="17">
        <v>0</v>
      </c>
      <c r="B39" s="7" t="s">
        <v>336</v>
      </c>
      <c r="C39" s="7" t="s">
        <v>201</v>
      </c>
      <c r="D39" s="7" t="s">
        <v>31</v>
      </c>
      <c r="E39" s="7" t="s">
        <v>237</v>
      </c>
      <c r="F39" s="7">
        <v>1</v>
      </c>
      <c r="G39" s="7">
        <v>1</v>
      </c>
      <c r="H39" s="7" t="s">
        <v>188</v>
      </c>
      <c r="I39" s="7">
        <v>1</v>
      </c>
      <c r="J39" s="7">
        <v>1</v>
      </c>
      <c r="K39" s="7">
        <f t="shared" si="25"/>
        <v>-1</v>
      </c>
      <c r="L39" s="7">
        <f t="shared" si="25"/>
        <v>-1</v>
      </c>
      <c r="M39" s="7">
        <f t="shared" si="25"/>
        <v>-1</v>
      </c>
      <c r="N39" s="7">
        <f t="shared" si="25"/>
        <v>1</v>
      </c>
      <c r="O39" s="7">
        <f t="shared" si="25"/>
        <v>-1</v>
      </c>
      <c r="P39" s="7">
        <v>7.2</v>
      </c>
      <c r="Q39" s="7" t="str">
        <f t="shared" si="26"/>
        <v>NoPAMS-HiGr-CAP0720</v>
      </c>
      <c r="AY39" s="7">
        <f t="shared" ref="AY39" si="33">IF(LEN(B39)&gt;30,1,0)</f>
        <v>0</v>
      </c>
      <c r="AZ39" s="7">
        <v>1</v>
      </c>
      <c r="BE39" s="7">
        <v>1</v>
      </c>
    </row>
    <row r="40" spans="1:57" s="7" customFormat="1">
      <c r="A40" s="17">
        <v>0</v>
      </c>
      <c r="B40" s="7" t="s">
        <v>324</v>
      </c>
      <c r="C40" s="7" t="s">
        <v>201</v>
      </c>
      <c r="D40" s="7" t="s">
        <v>31</v>
      </c>
      <c r="E40" s="7" t="s">
        <v>237</v>
      </c>
      <c r="F40" s="7">
        <v>1</v>
      </c>
      <c r="G40" s="7">
        <v>1</v>
      </c>
      <c r="H40" s="7" t="s">
        <v>188</v>
      </c>
      <c r="I40" s="7">
        <v>1</v>
      </c>
      <c r="J40" s="7">
        <v>1</v>
      </c>
      <c r="K40" s="7">
        <f t="shared" si="25"/>
        <v>-1</v>
      </c>
      <c r="L40" s="7">
        <f t="shared" si="25"/>
        <v>-1</v>
      </c>
      <c r="M40" s="7">
        <f t="shared" si="25"/>
        <v>-1</v>
      </c>
      <c r="N40" s="7">
        <f t="shared" si="25"/>
        <v>1</v>
      </c>
      <c r="O40" s="7">
        <f t="shared" si="25"/>
        <v>-1</v>
      </c>
      <c r="P40" s="7">
        <v>7</v>
      </c>
      <c r="Q40" s="7" t="str">
        <f t="shared" ref="Q40:Q44" si="34">B40</f>
        <v>NoPAMS-HiGr-CAP0700</v>
      </c>
      <c r="AY40" s="7">
        <f t="shared" si="5"/>
        <v>0</v>
      </c>
      <c r="AZ40" s="7">
        <v>1</v>
      </c>
      <c r="BE40" s="7">
        <v>1</v>
      </c>
    </row>
    <row r="41" spans="1:57" s="7" customFormat="1">
      <c r="A41" s="17">
        <v>0</v>
      </c>
      <c r="B41" s="7" t="s">
        <v>360</v>
      </c>
      <c r="C41" s="7" t="s">
        <v>201</v>
      </c>
      <c r="D41" s="7" t="s">
        <v>31</v>
      </c>
      <c r="E41" s="7" t="s">
        <v>358</v>
      </c>
      <c r="F41" s="7">
        <v>1</v>
      </c>
      <c r="G41" s="7">
        <v>1</v>
      </c>
      <c r="H41" s="7" t="s">
        <v>188</v>
      </c>
      <c r="I41" s="7">
        <v>1</v>
      </c>
      <c r="J41" s="7">
        <v>1</v>
      </c>
      <c r="K41" s="7">
        <f t="shared" si="25"/>
        <v>-1</v>
      </c>
      <c r="L41" s="7">
        <f t="shared" si="25"/>
        <v>-1</v>
      </c>
      <c r="M41" s="7">
        <f t="shared" si="25"/>
        <v>-1</v>
      </c>
      <c r="N41" s="7">
        <f t="shared" si="25"/>
        <v>1</v>
      </c>
      <c r="O41" s="7">
        <f t="shared" si="25"/>
        <v>-1</v>
      </c>
      <c r="P41" s="7">
        <v>7</v>
      </c>
      <c r="Q41" s="7" t="str">
        <f t="shared" ref="Q41" si="35">B41</f>
        <v>NoPAMS-HiGr-CAP0700-IRP</v>
      </c>
      <c r="AY41" s="7">
        <f t="shared" ref="AY41" si="36">IF(LEN(B41)&gt;30,1,0)</f>
        <v>0</v>
      </c>
      <c r="AZ41" s="7">
        <v>1</v>
      </c>
      <c r="BE41" s="7">
        <v>1</v>
      </c>
    </row>
    <row r="42" spans="1:57" s="7" customFormat="1">
      <c r="A42" s="17">
        <v>0</v>
      </c>
      <c r="B42" s="7" t="s">
        <v>364</v>
      </c>
      <c r="C42" s="7" t="s">
        <v>201</v>
      </c>
      <c r="D42" s="7" t="s">
        <v>31</v>
      </c>
      <c r="E42" s="7" t="s">
        <v>363</v>
      </c>
      <c r="F42" s="7">
        <v>1</v>
      </c>
      <c r="G42" s="7">
        <v>1</v>
      </c>
      <c r="H42" s="7" t="s">
        <v>188</v>
      </c>
      <c r="I42" s="7">
        <v>1</v>
      </c>
      <c r="J42" s="7">
        <v>1</v>
      </c>
      <c r="K42" s="7">
        <f t="shared" si="25"/>
        <v>-1</v>
      </c>
      <c r="L42" s="7">
        <f t="shared" si="25"/>
        <v>-1</v>
      </c>
      <c r="M42" s="7">
        <f t="shared" si="25"/>
        <v>-1</v>
      </c>
      <c r="N42" s="7">
        <f t="shared" si="25"/>
        <v>1</v>
      </c>
      <c r="O42" s="7">
        <f t="shared" si="25"/>
        <v>-1</v>
      </c>
      <c r="P42" s="7">
        <v>7</v>
      </c>
      <c r="Q42" s="7" t="str">
        <f t="shared" ref="Q42" si="37">B42</f>
        <v>NoPAMS-HiGr-CAP0700-IRPN</v>
      </c>
      <c r="AY42" s="7">
        <f t="shared" ref="AY42" si="38">IF(LEN(B42)&gt;30,1,0)</f>
        <v>0</v>
      </c>
      <c r="AZ42" s="7">
        <v>1</v>
      </c>
      <c r="BE42" s="7">
        <v>1</v>
      </c>
    </row>
    <row r="43" spans="1:57" s="7" customFormat="1">
      <c r="A43" s="17">
        <v>0</v>
      </c>
      <c r="B43" s="7" t="s">
        <v>356</v>
      </c>
      <c r="C43" s="7" t="s">
        <v>201</v>
      </c>
      <c r="D43" s="7" t="s">
        <v>31</v>
      </c>
      <c r="E43" s="7" t="s">
        <v>237</v>
      </c>
      <c r="F43" s="7">
        <v>1</v>
      </c>
      <c r="G43" s="7">
        <v>1</v>
      </c>
      <c r="H43" s="7" t="s">
        <v>188</v>
      </c>
      <c r="I43" s="7">
        <v>1</v>
      </c>
      <c r="J43" s="7">
        <v>1</v>
      </c>
      <c r="K43" s="7">
        <f t="shared" si="25"/>
        <v>-1</v>
      </c>
      <c r="L43" s="7">
        <f t="shared" si="25"/>
        <v>-1</v>
      </c>
      <c r="M43" s="7">
        <f t="shared" si="25"/>
        <v>-1</v>
      </c>
      <c r="N43" s="7">
        <f t="shared" si="25"/>
        <v>1</v>
      </c>
      <c r="O43" s="7">
        <f t="shared" si="25"/>
        <v>-1</v>
      </c>
      <c r="P43" s="7">
        <v>6.5</v>
      </c>
      <c r="Q43" s="7" t="str">
        <f t="shared" ref="Q43" si="39">B43</f>
        <v>NoPAMS-HiGr-CAP0650</v>
      </c>
      <c r="AY43" s="7">
        <f t="shared" ref="AY43" si="40">IF(LEN(B43)&gt;30,1,0)</f>
        <v>0</v>
      </c>
      <c r="AZ43" s="7">
        <v>1</v>
      </c>
      <c r="BE43" s="7">
        <v>1</v>
      </c>
    </row>
    <row r="44" spans="1:57" s="7" customFormat="1">
      <c r="A44" s="17">
        <v>0</v>
      </c>
      <c r="B44" s="7" t="s">
        <v>325</v>
      </c>
      <c r="C44" s="7" t="s">
        <v>201</v>
      </c>
      <c r="D44" s="7" t="s">
        <v>31</v>
      </c>
      <c r="E44" s="7" t="s">
        <v>237</v>
      </c>
      <c r="F44" s="7">
        <v>1</v>
      </c>
      <c r="G44" s="7">
        <v>1</v>
      </c>
      <c r="H44" s="7" t="s">
        <v>188</v>
      </c>
      <c r="I44" s="7">
        <v>1</v>
      </c>
      <c r="J44" s="7">
        <v>1</v>
      </c>
      <c r="K44" s="7">
        <f t="shared" si="25"/>
        <v>-1</v>
      </c>
      <c r="L44" s="7">
        <f t="shared" si="25"/>
        <v>-1</v>
      </c>
      <c r="M44" s="7">
        <f t="shared" si="25"/>
        <v>-1</v>
      </c>
      <c r="N44" s="7">
        <f t="shared" si="25"/>
        <v>1</v>
      </c>
      <c r="O44" s="7">
        <f t="shared" si="25"/>
        <v>-1</v>
      </c>
      <c r="P44" s="7">
        <v>6</v>
      </c>
      <c r="Q44" s="7" t="str">
        <f t="shared" si="34"/>
        <v>NoPAMS-HiGr-CAP0600</v>
      </c>
      <c r="AY44" s="7">
        <f t="shared" si="5"/>
        <v>0</v>
      </c>
      <c r="AZ44" s="7">
        <v>1</v>
      </c>
      <c r="BE44" s="7">
        <v>1</v>
      </c>
    </row>
    <row r="45" spans="1:57" s="7" customFormat="1">
      <c r="A45" s="17">
        <v>0</v>
      </c>
      <c r="B45" s="7" t="s">
        <v>232</v>
      </c>
      <c r="C45" s="7" t="s">
        <v>201</v>
      </c>
      <c r="D45" s="7" t="s">
        <v>31</v>
      </c>
      <c r="E45" s="7" t="s">
        <v>226</v>
      </c>
      <c r="F45" s="7">
        <v>1</v>
      </c>
      <c r="G45" s="7">
        <v>1</v>
      </c>
      <c r="H45" s="7" t="s">
        <v>188</v>
      </c>
      <c r="I45" s="7">
        <v>1</v>
      </c>
      <c r="J45" s="7">
        <v>1</v>
      </c>
      <c r="K45" s="7">
        <f t="shared" si="25"/>
        <v>-1</v>
      </c>
      <c r="L45" s="7">
        <f t="shared" si="25"/>
        <v>-1</v>
      </c>
      <c r="M45" s="7">
        <f t="shared" si="25"/>
        <v>-1</v>
      </c>
      <c r="N45" s="7">
        <f t="shared" si="25"/>
        <v>1</v>
      </c>
      <c r="O45" s="7">
        <f t="shared" si="25"/>
        <v>-1</v>
      </c>
      <c r="Q45" s="7" t="str">
        <f t="shared" ref="Q45:Q54" si="41">B45</f>
        <v>NoPAMS-LEAF-TrGr</v>
      </c>
      <c r="AY45" s="7">
        <f t="shared" si="5"/>
        <v>0</v>
      </c>
      <c r="AZ45" s="7">
        <v>1</v>
      </c>
      <c r="BB45" s="7">
        <v>1</v>
      </c>
    </row>
    <row r="46" spans="1:57" s="7" customFormat="1">
      <c r="A46" s="17">
        <v>0</v>
      </c>
      <c r="B46" s="7" t="s">
        <v>355</v>
      </c>
      <c r="C46" s="7" t="s">
        <v>201</v>
      </c>
      <c r="D46" s="7" t="s">
        <v>31</v>
      </c>
      <c r="E46" s="7" t="s">
        <v>259</v>
      </c>
      <c r="F46" s="7">
        <v>1</v>
      </c>
      <c r="G46" s="7">
        <v>1</v>
      </c>
      <c r="H46" s="7" t="s">
        <v>189</v>
      </c>
      <c r="I46" s="7">
        <v>1</v>
      </c>
      <c r="J46" s="7">
        <v>1</v>
      </c>
      <c r="K46" s="7">
        <f t="shared" ref="K46:O52" si="42">INDEX(K$1:K$4,MATCH($H46,$J$1:$J$4,0))</f>
        <v>2</v>
      </c>
      <c r="L46" s="7">
        <f t="shared" si="42"/>
        <v>2</v>
      </c>
      <c r="M46" s="7">
        <f t="shared" si="42"/>
        <v>1</v>
      </c>
      <c r="N46" s="7">
        <f t="shared" si="42"/>
        <v>2</v>
      </c>
      <c r="O46" s="7">
        <f t="shared" si="42"/>
        <v>1</v>
      </c>
      <c r="P46" s="7">
        <v>8</v>
      </c>
      <c r="Q46" s="7" t="str">
        <f t="shared" si="41"/>
        <v>CPAMS-HiGr-CAP0800</v>
      </c>
      <c r="AY46" s="7">
        <f t="shared" si="5"/>
        <v>0</v>
      </c>
      <c r="AZ46" s="7">
        <v>1</v>
      </c>
      <c r="BE46" s="7">
        <v>1</v>
      </c>
    </row>
    <row r="47" spans="1:57" s="7" customFormat="1">
      <c r="A47" s="17">
        <v>0</v>
      </c>
      <c r="B47" s="7" t="s">
        <v>353</v>
      </c>
      <c r="C47" s="7" t="s">
        <v>201</v>
      </c>
      <c r="D47" s="7" t="s">
        <v>31</v>
      </c>
      <c r="E47" s="7" t="s">
        <v>259</v>
      </c>
      <c r="F47" s="7">
        <v>1</v>
      </c>
      <c r="G47" s="7">
        <v>1</v>
      </c>
      <c r="H47" s="7" t="s">
        <v>189</v>
      </c>
      <c r="I47" s="7">
        <v>1</v>
      </c>
      <c r="J47" s="7">
        <v>1</v>
      </c>
      <c r="K47" s="7">
        <f t="shared" si="42"/>
        <v>2</v>
      </c>
      <c r="L47" s="7">
        <f t="shared" si="42"/>
        <v>2</v>
      </c>
      <c r="M47" s="7">
        <f t="shared" si="42"/>
        <v>1</v>
      </c>
      <c r="N47" s="7">
        <f t="shared" si="42"/>
        <v>2</v>
      </c>
      <c r="O47" s="7">
        <f t="shared" si="42"/>
        <v>1</v>
      </c>
      <c r="P47" s="7">
        <v>7.5</v>
      </c>
      <c r="Q47" s="7" t="str">
        <f t="shared" ref="Q47:Q48" si="43">B47</f>
        <v>CPAMS-HiGr-CAP0750</v>
      </c>
      <c r="AY47" s="7">
        <f t="shared" ref="AY47:AY48" si="44">IF(LEN(B47)&gt;30,1,0)</f>
        <v>0</v>
      </c>
      <c r="AZ47" s="7">
        <v>1</v>
      </c>
      <c r="BE47" s="7">
        <v>1</v>
      </c>
    </row>
    <row r="48" spans="1:57" s="7" customFormat="1">
      <c r="A48" s="17">
        <v>0</v>
      </c>
      <c r="B48" s="7" t="s">
        <v>354</v>
      </c>
      <c r="C48" s="7" t="s">
        <v>201</v>
      </c>
      <c r="D48" s="7" t="s">
        <v>31</v>
      </c>
      <c r="E48" s="7" t="s">
        <v>330</v>
      </c>
      <c r="F48" s="7">
        <v>1</v>
      </c>
      <c r="G48" s="7">
        <v>1</v>
      </c>
      <c r="H48" s="7" t="s">
        <v>189</v>
      </c>
      <c r="I48" s="7">
        <v>1</v>
      </c>
      <c r="J48" s="7">
        <v>1</v>
      </c>
      <c r="K48" s="7">
        <f t="shared" si="42"/>
        <v>2</v>
      </c>
      <c r="L48" s="7">
        <f t="shared" si="42"/>
        <v>2</v>
      </c>
      <c r="M48" s="7">
        <f t="shared" si="42"/>
        <v>1</v>
      </c>
      <c r="N48" s="7">
        <f t="shared" si="42"/>
        <v>2</v>
      </c>
      <c r="O48" s="7">
        <f t="shared" si="42"/>
        <v>1</v>
      </c>
      <c r="P48" s="7">
        <v>7.5</v>
      </c>
      <c r="Q48" s="7" t="str">
        <f t="shared" si="43"/>
        <v>CPAMS-HiGr-CAP0750-IRP</v>
      </c>
      <c r="AY48" s="7">
        <f t="shared" si="44"/>
        <v>0</v>
      </c>
      <c r="AZ48" s="7">
        <v>1</v>
      </c>
      <c r="BE48" s="7">
        <v>1</v>
      </c>
    </row>
    <row r="49" spans="1:57" s="7" customFormat="1">
      <c r="A49" s="17">
        <v>0</v>
      </c>
      <c r="B49" s="7" t="s">
        <v>365</v>
      </c>
      <c r="C49" s="7" t="s">
        <v>201</v>
      </c>
      <c r="D49" s="7" t="s">
        <v>31</v>
      </c>
      <c r="E49" s="7" t="s">
        <v>361</v>
      </c>
      <c r="F49" s="7">
        <v>1</v>
      </c>
      <c r="G49" s="7">
        <v>1</v>
      </c>
      <c r="H49" s="7" t="s">
        <v>189</v>
      </c>
      <c r="I49" s="7">
        <v>1</v>
      </c>
      <c r="J49" s="7">
        <v>1</v>
      </c>
      <c r="K49" s="7">
        <f t="shared" si="42"/>
        <v>2</v>
      </c>
      <c r="L49" s="7">
        <f t="shared" si="42"/>
        <v>2</v>
      </c>
      <c r="M49" s="7">
        <f t="shared" si="42"/>
        <v>1</v>
      </c>
      <c r="N49" s="7">
        <f t="shared" si="42"/>
        <v>2</v>
      </c>
      <c r="O49" s="7">
        <f t="shared" si="42"/>
        <v>1</v>
      </c>
      <c r="P49" s="7">
        <v>7.5</v>
      </c>
      <c r="Q49" s="7" t="str">
        <f t="shared" ref="Q49" si="45">B49</f>
        <v>CPAMS-HiGr-CAP0750-IRPN</v>
      </c>
      <c r="AY49" s="7">
        <f t="shared" ref="AY49" si="46">IF(LEN(B49)&gt;30,1,0)</f>
        <v>0</v>
      </c>
      <c r="AZ49" s="7">
        <v>1</v>
      </c>
      <c r="BE49" s="7">
        <v>1</v>
      </c>
    </row>
    <row r="50" spans="1:57" s="7" customFormat="1">
      <c r="A50" s="17">
        <v>0</v>
      </c>
      <c r="B50" s="7" t="s">
        <v>351</v>
      </c>
      <c r="C50" s="7" t="s">
        <v>201</v>
      </c>
      <c r="D50" s="7" t="s">
        <v>31</v>
      </c>
      <c r="E50" s="7" t="s">
        <v>259</v>
      </c>
      <c r="F50" s="7">
        <v>1</v>
      </c>
      <c r="G50" s="7">
        <v>1</v>
      </c>
      <c r="H50" s="7" t="s">
        <v>189</v>
      </c>
      <c r="I50" s="7">
        <v>1</v>
      </c>
      <c r="J50" s="7">
        <v>1</v>
      </c>
      <c r="K50" s="7">
        <f t="shared" si="42"/>
        <v>2</v>
      </c>
      <c r="L50" s="7">
        <f t="shared" si="42"/>
        <v>2</v>
      </c>
      <c r="M50" s="7">
        <f t="shared" si="42"/>
        <v>1</v>
      </c>
      <c r="N50" s="7">
        <f t="shared" si="42"/>
        <v>2</v>
      </c>
      <c r="O50" s="7">
        <f t="shared" si="42"/>
        <v>1</v>
      </c>
      <c r="P50" s="7">
        <v>7.2</v>
      </c>
      <c r="Q50" s="7" t="str">
        <f t="shared" si="41"/>
        <v>CPAMS-HiGr-CAP0720</v>
      </c>
      <c r="AY50" s="7">
        <f t="shared" si="5"/>
        <v>0</v>
      </c>
      <c r="AZ50" s="7">
        <v>1</v>
      </c>
      <c r="BE50" s="7">
        <v>1</v>
      </c>
    </row>
    <row r="51" spans="1:57" s="7" customFormat="1">
      <c r="A51" s="17">
        <v>0</v>
      </c>
      <c r="B51" s="7" t="s">
        <v>352</v>
      </c>
      <c r="C51" s="7" t="s">
        <v>201</v>
      </c>
      <c r="D51" s="7" t="s">
        <v>31</v>
      </c>
      <c r="E51" s="7" t="s">
        <v>330</v>
      </c>
      <c r="F51" s="7">
        <v>1</v>
      </c>
      <c r="G51" s="7">
        <v>1</v>
      </c>
      <c r="H51" s="7" t="s">
        <v>189</v>
      </c>
      <c r="I51" s="7">
        <v>1</v>
      </c>
      <c r="J51" s="7">
        <v>1</v>
      </c>
      <c r="K51" s="7">
        <f t="shared" si="42"/>
        <v>2</v>
      </c>
      <c r="L51" s="7">
        <f t="shared" si="42"/>
        <v>2</v>
      </c>
      <c r="M51" s="7">
        <f t="shared" si="42"/>
        <v>1</v>
      </c>
      <c r="N51" s="7">
        <f t="shared" si="42"/>
        <v>2</v>
      </c>
      <c r="O51" s="7">
        <f t="shared" si="42"/>
        <v>1</v>
      </c>
      <c r="P51" s="7">
        <v>7.2</v>
      </c>
      <c r="Q51" s="7" t="str">
        <f t="shared" si="41"/>
        <v>CPAMS-HiGr-CAP0720-IRP</v>
      </c>
      <c r="AY51" s="7">
        <f t="shared" si="5"/>
        <v>0</v>
      </c>
      <c r="AZ51" s="7">
        <v>1</v>
      </c>
      <c r="BE51" s="7">
        <v>1</v>
      </c>
    </row>
    <row r="52" spans="1:57" s="7" customFormat="1">
      <c r="A52" s="17">
        <v>0</v>
      </c>
      <c r="B52" s="7" t="s">
        <v>366</v>
      </c>
      <c r="C52" s="7" t="s">
        <v>201</v>
      </c>
      <c r="D52" s="7" t="s">
        <v>31</v>
      </c>
      <c r="E52" s="7" t="s">
        <v>361</v>
      </c>
      <c r="F52" s="7">
        <v>1</v>
      </c>
      <c r="G52" s="7">
        <v>1</v>
      </c>
      <c r="H52" s="7" t="s">
        <v>189</v>
      </c>
      <c r="I52" s="7">
        <v>1</v>
      </c>
      <c r="J52" s="7">
        <v>1</v>
      </c>
      <c r="K52" s="7">
        <f t="shared" si="42"/>
        <v>2</v>
      </c>
      <c r="L52" s="7">
        <f t="shared" si="42"/>
        <v>2</v>
      </c>
      <c r="M52" s="7">
        <f t="shared" si="42"/>
        <v>1</v>
      </c>
      <c r="N52" s="7">
        <f t="shared" si="42"/>
        <v>2</v>
      </c>
      <c r="O52" s="7">
        <f t="shared" si="42"/>
        <v>1</v>
      </c>
      <c r="P52" s="7">
        <v>7.2</v>
      </c>
      <c r="Q52" s="7" t="str">
        <f t="shared" ref="Q52" si="47">B52</f>
        <v>CPAMS-HiGr-CAP0720-IRPN</v>
      </c>
      <c r="AY52" s="7">
        <f t="shared" ref="AY52" si="48">IF(LEN(B52)&gt;30,1,0)</f>
        <v>0</v>
      </c>
      <c r="AZ52" s="7">
        <v>1</v>
      </c>
      <c r="BE52" s="7">
        <v>1</v>
      </c>
    </row>
    <row r="53" spans="1:57" s="7" customFormat="1">
      <c r="A53" s="17">
        <v>0</v>
      </c>
      <c r="B53" s="7" t="s">
        <v>328</v>
      </c>
      <c r="C53" s="7" t="s">
        <v>201</v>
      </c>
      <c r="D53" s="7" t="s">
        <v>31</v>
      </c>
      <c r="E53" s="7" t="s">
        <v>259</v>
      </c>
      <c r="F53" s="7">
        <v>1</v>
      </c>
      <c r="G53" s="7">
        <v>1</v>
      </c>
      <c r="H53" s="7" t="s">
        <v>189</v>
      </c>
      <c r="I53" s="7">
        <v>1</v>
      </c>
      <c r="J53" s="7">
        <v>1</v>
      </c>
      <c r="K53" s="7">
        <f t="shared" si="25"/>
        <v>2</v>
      </c>
      <c r="L53" s="7">
        <f t="shared" si="25"/>
        <v>2</v>
      </c>
      <c r="M53" s="7">
        <f t="shared" si="25"/>
        <v>1</v>
      </c>
      <c r="N53" s="7">
        <f t="shared" si="25"/>
        <v>2</v>
      </c>
      <c r="O53" s="7">
        <f t="shared" si="25"/>
        <v>1</v>
      </c>
      <c r="P53" s="7">
        <v>7</v>
      </c>
      <c r="Q53" s="7" t="str">
        <f t="shared" ref="Q53" si="49">B53</f>
        <v>CPAMS-HiGr-CAP0700</v>
      </c>
      <c r="AY53" s="7">
        <f t="shared" si="5"/>
        <v>0</v>
      </c>
      <c r="AZ53" s="7">
        <v>1</v>
      </c>
      <c r="BE53" s="7">
        <v>1</v>
      </c>
    </row>
    <row r="54" spans="1:57" s="7" customFormat="1">
      <c r="A54" s="17">
        <v>0</v>
      </c>
      <c r="B54" s="7" t="s">
        <v>329</v>
      </c>
      <c r="C54" s="7" t="s">
        <v>201</v>
      </c>
      <c r="D54" s="7" t="s">
        <v>31</v>
      </c>
      <c r="E54" s="7" t="s">
        <v>330</v>
      </c>
      <c r="F54" s="7">
        <v>1</v>
      </c>
      <c r="G54" s="7">
        <v>1</v>
      </c>
      <c r="H54" s="7" t="s">
        <v>189</v>
      </c>
      <c r="I54" s="7">
        <v>1</v>
      </c>
      <c r="J54" s="7">
        <v>1</v>
      </c>
      <c r="K54" s="7">
        <f t="shared" si="25"/>
        <v>2</v>
      </c>
      <c r="L54" s="7">
        <f t="shared" si="25"/>
        <v>2</v>
      </c>
      <c r="M54" s="7">
        <f t="shared" si="25"/>
        <v>1</v>
      </c>
      <c r="N54" s="7">
        <f t="shared" si="25"/>
        <v>2</v>
      </c>
      <c r="O54" s="7">
        <f t="shared" si="25"/>
        <v>1</v>
      </c>
      <c r="P54" s="7">
        <v>7</v>
      </c>
      <c r="Q54" s="7" t="str">
        <f t="shared" si="41"/>
        <v>CPAMS-HiGr-CAP0700-IRP</v>
      </c>
      <c r="AY54" s="7">
        <f t="shared" si="5"/>
        <v>0</v>
      </c>
      <c r="AZ54" s="7">
        <v>1</v>
      </c>
      <c r="BE54" s="7">
        <v>1</v>
      </c>
    </row>
    <row r="55" spans="1:57" s="7" customFormat="1">
      <c r="A55" s="17">
        <v>0</v>
      </c>
      <c r="B55" s="7" t="s">
        <v>367</v>
      </c>
      <c r="C55" s="7" t="s">
        <v>201</v>
      </c>
      <c r="D55" s="7" t="s">
        <v>31</v>
      </c>
      <c r="E55" s="7" t="s">
        <v>361</v>
      </c>
      <c r="F55" s="7">
        <v>1</v>
      </c>
      <c r="G55" s="7">
        <v>1</v>
      </c>
      <c r="H55" s="7" t="s">
        <v>189</v>
      </c>
      <c r="I55" s="7">
        <v>1</v>
      </c>
      <c r="J55" s="7">
        <v>1</v>
      </c>
      <c r="K55" s="7">
        <f t="shared" si="25"/>
        <v>2</v>
      </c>
      <c r="L55" s="7">
        <f t="shared" si="25"/>
        <v>2</v>
      </c>
      <c r="M55" s="7">
        <f t="shared" si="25"/>
        <v>1</v>
      </c>
      <c r="N55" s="7">
        <f t="shared" si="25"/>
        <v>2</v>
      </c>
      <c r="O55" s="7">
        <f t="shared" si="25"/>
        <v>1</v>
      </c>
      <c r="P55" s="7">
        <v>7</v>
      </c>
      <c r="Q55" s="7" t="str">
        <f t="shared" ref="Q55" si="50">B55</f>
        <v>CPAMS-HiGr-CAP0700-IRPN</v>
      </c>
      <c r="AY55" s="7">
        <f t="shared" ref="AY55" si="51">IF(LEN(B55)&gt;30,1,0)</f>
        <v>0</v>
      </c>
      <c r="AZ55" s="7">
        <v>1</v>
      </c>
      <c r="BE55" s="7">
        <v>1</v>
      </c>
    </row>
    <row r="56" spans="1:57" s="7" customFormat="1">
      <c r="A56" s="17">
        <v>0</v>
      </c>
      <c r="B56" s="7" t="s">
        <v>331</v>
      </c>
      <c r="C56" s="7" t="s">
        <v>201</v>
      </c>
      <c r="D56" s="7" t="s">
        <v>31</v>
      </c>
      <c r="E56" s="7" t="s">
        <v>332</v>
      </c>
      <c r="F56" s="7">
        <v>1</v>
      </c>
      <c r="G56" s="7">
        <v>1</v>
      </c>
      <c r="H56" s="7" t="s">
        <v>189</v>
      </c>
      <c r="I56" s="7">
        <v>1</v>
      </c>
      <c r="J56" s="7">
        <v>1</v>
      </c>
      <c r="K56" s="7">
        <f t="shared" si="25"/>
        <v>2</v>
      </c>
      <c r="L56" s="7">
        <f t="shared" si="25"/>
        <v>2</v>
      </c>
      <c r="M56" s="7">
        <f t="shared" si="25"/>
        <v>1</v>
      </c>
      <c r="N56" s="7">
        <f t="shared" si="25"/>
        <v>2</v>
      </c>
      <c r="O56" s="7">
        <f t="shared" si="25"/>
        <v>1</v>
      </c>
      <c r="P56" s="7">
        <v>7</v>
      </c>
      <c r="Q56" s="7" t="str">
        <f t="shared" ref="Q56" si="52">B56</f>
        <v>CPAMS-HiGr-CAP0700-IRPL</v>
      </c>
      <c r="AY56" s="7">
        <f t="shared" si="5"/>
        <v>0</v>
      </c>
      <c r="AZ56" s="7">
        <v>1</v>
      </c>
      <c r="BE56" s="7">
        <v>1</v>
      </c>
    </row>
    <row r="57" spans="1:57" s="7" customFormat="1">
      <c r="A57" s="17">
        <v>0</v>
      </c>
      <c r="B57" s="7" t="s">
        <v>349</v>
      </c>
      <c r="C57" s="7" t="s">
        <v>201</v>
      </c>
      <c r="D57" s="7" t="s">
        <v>31</v>
      </c>
      <c r="E57" s="7" t="s">
        <v>259</v>
      </c>
      <c r="F57" s="7">
        <v>1</v>
      </c>
      <c r="G57" s="7">
        <v>1</v>
      </c>
      <c r="H57" s="7" t="s">
        <v>189</v>
      </c>
      <c r="I57" s="7">
        <v>1</v>
      </c>
      <c r="J57" s="7">
        <v>1</v>
      </c>
      <c r="K57" s="7">
        <f t="shared" ref="K57:O60" si="53">INDEX(K$1:K$4,MATCH($H57,$J$1:$J$4,0))</f>
        <v>2</v>
      </c>
      <c r="L57" s="7">
        <f t="shared" si="53"/>
        <v>2</v>
      </c>
      <c r="M57" s="7">
        <f t="shared" si="53"/>
        <v>1</v>
      </c>
      <c r="N57" s="7">
        <f t="shared" si="53"/>
        <v>2</v>
      </c>
      <c r="O57" s="7">
        <f t="shared" si="53"/>
        <v>1</v>
      </c>
      <c r="P57" s="7">
        <v>6.5</v>
      </c>
      <c r="Q57" s="7" t="str">
        <f t="shared" ref="Q57:Q58" si="54">B57</f>
        <v>CPAMS-HiGr-CAP0650</v>
      </c>
      <c r="AY57" s="7">
        <f t="shared" ref="AY57:AY58" si="55">IF(LEN(B57)&gt;30,1,0)</f>
        <v>0</v>
      </c>
      <c r="AZ57" s="7">
        <v>1</v>
      </c>
      <c r="BE57" s="7">
        <v>1</v>
      </c>
    </row>
    <row r="58" spans="1:57" s="7" customFormat="1">
      <c r="A58" s="17">
        <v>0</v>
      </c>
      <c r="B58" s="7" t="s">
        <v>350</v>
      </c>
      <c r="C58" s="7" t="s">
        <v>201</v>
      </c>
      <c r="D58" s="7" t="s">
        <v>31</v>
      </c>
      <c r="E58" s="7" t="s">
        <v>330</v>
      </c>
      <c r="F58" s="7">
        <v>1</v>
      </c>
      <c r="G58" s="7">
        <v>1</v>
      </c>
      <c r="H58" s="7" t="s">
        <v>189</v>
      </c>
      <c r="I58" s="7">
        <v>1</v>
      </c>
      <c r="J58" s="7">
        <v>1</v>
      </c>
      <c r="K58" s="7">
        <f t="shared" si="53"/>
        <v>2</v>
      </c>
      <c r="L58" s="7">
        <f t="shared" si="53"/>
        <v>2</v>
      </c>
      <c r="M58" s="7">
        <f t="shared" si="53"/>
        <v>1</v>
      </c>
      <c r="N58" s="7">
        <f t="shared" si="53"/>
        <v>2</v>
      </c>
      <c r="O58" s="7">
        <f t="shared" si="53"/>
        <v>1</v>
      </c>
      <c r="P58" s="7">
        <v>6.5</v>
      </c>
      <c r="Q58" s="7" t="str">
        <f t="shared" si="54"/>
        <v>CPAMS-HiGr-CAP0650-IRP</v>
      </c>
      <c r="AY58" s="7">
        <f t="shared" si="55"/>
        <v>0</v>
      </c>
      <c r="AZ58" s="7">
        <v>1</v>
      </c>
      <c r="BE58" s="7">
        <v>1</v>
      </c>
    </row>
    <row r="59" spans="1:57" s="7" customFormat="1">
      <c r="A59" s="17">
        <v>0</v>
      </c>
      <c r="B59" s="7" t="s">
        <v>368</v>
      </c>
      <c r="C59" s="7" t="s">
        <v>201</v>
      </c>
      <c r="D59" s="7" t="s">
        <v>31</v>
      </c>
      <c r="E59" s="7" t="s">
        <v>361</v>
      </c>
      <c r="F59" s="7">
        <v>1</v>
      </c>
      <c r="G59" s="7">
        <v>1</v>
      </c>
      <c r="H59" s="7" t="s">
        <v>189</v>
      </c>
      <c r="I59" s="7">
        <v>1</v>
      </c>
      <c r="J59" s="7">
        <v>1</v>
      </c>
      <c r="K59" s="7">
        <f t="shared" si="53"/>
        <v>2</v>
      </c>
      <c r="L59" s="7">
        <f t="shared" si="53"/>
        <v>2</v>
      </c>
      <c r="M59" s="7">
        <f t="shared" si="53"/>
        <v>1</v>
      </c>
      <c r="N59" s="7">
        <f t="shared" si="53"/>
        <v>2</v>
      </c>
      <c r="O59" s="7">
        <f t="shared" si="53"/>
        <v>1</v>
      </c>
      <c r="P59" s="7">
        <v>6.5</v>
      </c>
      <c r="Q59" s="7" t="str">
        <f t="shared" ref="Q59" si="56">B59</f>
        <v>CPAMS-HiGr-CAP0650-IRPN</v>
      </c>
      <c r="AY59" s="7">
        <f t="shared" ref="AY59" si="57">IF(LEN(B59)&gt;30,1,0)</f>
        <v>0</v>
      </c>
      <c r="AZ59" s="7">
        <v>1</v>
      </c>
      <c r="BE59" s="7">
        <v>1</v>
      </c>
    </row>
    <row r="60" spans="1:57" s="7" customFormat="1">
      <c r="A60" s="17">
        <v>0</v>
      </c>
      <c r="B60" s="7" t="s">
        <v>347</v>
      </c>
      <c r="C60" s="7" t="s">
        <v>201</v>
      </c>
      <c r="D60" s="7" t="s">
        <v>31</v>
      </c>
      <c r="E60" s="7" t="s">
        <v>259</v>
      </c>
      <c r="F60" s="7">
        <v>1</v>
      </c>
      <c r="G60" s="7">
        <v>1</v>
      </c>
      <c r="H60" s="7" t="s">
        <v>189</v>
      </c>
      <c r="I60" s="7">
        <v>1</v>
      </c>
      <c r="J60" s="7">
        <v>1</v>
      </c>
      <c r="K60" s="7">
        <f t="shared" si="53"/>
        <v>2</v>
      </c>
      <c r="L60" s="7">
        <f t="shared" si="53"/>
        <v>2</v>
      </c>
      <c r="M60" s="7">
        <f t="shared" si="53"/>
        <v>1</v>
      </c>
      <c r="N60" s="7">
        <f t="shared" si="53"/>
        <v>2</v>
      </c>
      <c r="O60" s="7">
        <f t="shared" si="53"/>
        <v>1</v>
      </c>
      <c r="P60" s="7">
        <v>6</v>
      </c>
      <c r="Q60" s="7" t="str">
        <f t="shared" ref="Q60:Q61" si="58">B60</f>
        <v>CPAMS-HiGr-CAP0600</v>
      </c>
      <c r="AY60" s="7">
        <f t="shared" ref="AY60:AY61" si="59">IF(LEN(B60)&gt;30,1,0)</f>
        <v>0</v>
      </c>
      <c r="AZ60" s="7">
        <v>1</v>
      </c>
      <c r="BE60" s="7">
        <v>1</v>
      </c>
    </row>
    <row r="61" spans="1:57" s="7" customFormat="1">
      <c r="A61" s="17">
        <v>0</v>
      </c>
      <c r="B61" s="7" t="s">
        <v>348</v>
      </c>
      <c r="C61" s="7" t="s">
        <v>201</v>
      </c>
      <c r="D61" s="7" t="s">
        <v>31</v>
      </c>
      <c r="E61" s="7" t="s">
        <v>330</v>
      </c>
      <c r="F61" s="7">
        <v>1</v>
      </c>
      <c r="G61" s="7">
        <v>1</v>
      </c>
      <c r="H61" s="7" t="s">
        <v>189</v>
      </c>
      <c r="I61" s="7">
        <v>1</v>
      </c>
      <c r="J61" s="7">
        <v>1</v>
      </c>
      <c r="K61" s="7">
        <f t="shared" si="25"/>
        <v>2</v>
      </c>
      <c r="L61" s="7">
        <f t="shared" si="25"/>
        <v>2</v>
      </c>
      <c r="M61" s="7">
        <f t="shared" si="25"/>
        <v>1</v>
      </c>
      <c r="N61" s="7">
        <f t="shared" si="25"/>
        <v>2</v>
      </c>
      <c r="O61" s="7">
        <f t="shared" si="25"/>
        <v>1</v>
      </c>
      <c r="P61" s="7">
        <v>6</v>
      </c>
      <c r="Q61" s="7" t="str">
        <f t="shared" si="58"/>
        <v>CPAMS-HiGr-CAP0600-IRP</v>
      </c>
      <c r="AY61" s="7">
        <f t="shared" si="59"/>
        <v>0</v>
      </c>
      <c r="AZ61" s="7">
        <v>1</v>
      </c>
      <c r="BE61" s="7">
        <v>1</v>
      </c>
    </row>
    <row r="62" spans="1:57" s="7" customFormat="1">
      <c r="A62" s="17">
        <v>0</v>
      </c>
      <c r="B62" s="7" t="s">
        <v>233</v>
      </c>
      <c r="C62" s="7" t="s">
        <v>201</v>
      </c>
      <c r="D62" s="7" t="s">
        <v>31</v>
      </c>
      <c r="E62" s="7" t="s">
        <v>228</v>
      </c>
      <c r="F62" s="7">
        <v>1</v>
      </c>
      <c r="G62" s="7">
        <v>1</v>
      </c>
      <c r="H62" s="7" t="s">
        <v>189</v>
      </c>
      <c r="I62" s="7">
        <v>1</v>
      </c>
      <c r="J62" s="7">
        <v>1</v>
      </c>
      <c r="K62" s="7">
        <f t="shared" si="22"/>
        <v>2</v>
      </c>
      <c r="L62" s="7">
        <f t="shared" si="2"/>
        <v>2</v>
      </c>
      <c r="M62" s="7">
        <f t="shared" si="2"/>
        <v>1</v>
      </c>
      <c r="N62" s="7">
        <f t="shared" si="2"/>
        <v>2</v>
      </c>
      <c r="O62" s="7">
        <f t="shared" si="2"/>
        <v>1</v>
      </c>
      <c r="Q62" s="7" t="str">
        <f t="shared" ref="Q62" si="60">B62</f>
        <v>CPAMS-LEAF-TrGr</v>
      </c>
      <c r="AY62" s="7">
        <f t="shared" si="5"/>
        <v>0</v>
      </c>
      <c r="AZ62" s="7">
        <v>1</v>
      </c>
    </row>
    <row r="63" spans="1:57" s="7" customFormat="1">
      <c r="A63" s="17">
        <v>0</v>
      </c>
      <c r="B63" s="7" t="s">
        <v>234</v>
      </c>
      <c r="C63" s="7" t="s">
        <v>201</v>
      </c>
      <c r="D63" s="7" t="s">
        <v>30</v>
      </c>
      <c r="E63" s="7" t="s">
        <v>235</v>
      </c>
      <c r="F63" s="7">
        <v>1</v>
      </c>
      <c r="G63" s="7">
        <v>1</v>
      </c>
      <c r="H63" s="7" t="s">
        <v>188</v>
      </c>
      <c r="I63" s="7">
        <v>1</v>
      </c>
      <c r="J63" s="7">
        <v>1</v>
      </c>
      <c r="K63" s="7">
        <f t="shared" si="22"/>
        <v>-1</v>
      </c>
      <c r="L63" s="7">
        <f t="shared" si="2"/>
        <v>-1</v>
      </c>
      <c r="M63" s="7">
        <f t="shared" si="2"/>
        <v>-1</v>
      </c>
      <c r="N63" s="7">
        <f t="shared" si="2"/>
        <v>1</v>
      </c>
      <c r="O63" s="7">
        <f t="shared" si="2"/>
        <v>-1</v>
      </c>
      <c r="Q63" s="7" t="str">
        <f t="shared" ref="Q63:Q82" si="61">B63</f>
        <v>NoPAMS-LOP</v>
      </c>
      <c r="AY63" s="7">
        <f t="shared" si="5"/>
        <v>0</v>
      </c>
      <c r="AZ63" s="7">
        <v>1</v>
      </c>
    </row>
    <row r="64" spans="1:57" s="7" customFormat="1">
      <c r="A64" s="17">
        <v>0</v>
      </c>
      <c r="B64" s="7" t="s">
        <v>311</v>
      </c>
      <c r="C64" s="7" t="s">
        <v>201</v>
      </c>
      <c r="D64" s="7" t="s">
        <v>30</v>
      </c>
      <c r="E64" s="7" t="s">
        <v>237</v>
      </c>
      <c r="F64" s="7">
        <v>1</v>
      </c>
      <c r="G64" s="7">
        <v>1</v>
      </c>
      <c r="H64" s="7" t="s">
        <v>188</v>
      </c>
      <c r="I64" s="7">
        <v>1</v>
      </c>
      <c r="J64" s="7">
        <v>1</v>
      </c>
      <c r="K64" s="7">
        <f t="shared" si="22"/>
        <v>-1</v>
      </c>
      <c r="L64" s="7">
        <f t="shared" si="2"/>
        <v>-1</v>
      </c>
      <c r="M64" s="7">
        <f t="shared" si="2"/>
        <v>-1</v>
      </c>
      <c r="N64" s="7">
        <f t="shared" si="2"/>
        <v>1</v>
      </c>
      <c r="O64" s="7">
        <f t="shared" si="2"/>
        <v>-1</v>
      </c>
      <c r="P64" s="7">
        <v>10</v>
      </c>
      <c r="Q64" s="7" t="str">
        <f t="shared" si="61"/>
        <v>NoPAMS-CAP1000-L</v>
      </c>
      <c r="AY64" s="7">
        <f t="shared" si="5"/>
        <v>0</v>
      </c>
      <c r="BA64" s="7">
        <v>1</v>
      </c>
    </row>
    <row r="65" spans="1:57" s="7" customFormat="1">
      <c r="A65" s="17">
        <v>0</v>
      </c>
      <c r="B65" s="7" t="s">
        <v>312</v>
      </c>
      <c r="C65" s="7" t="s">
        <v>201</v>
      </c>
      <c r="D65" s="7" t="s">
        <v>30</v>
      </c>
      <c r="E65" s="7" t="s">
        <v>237</v>
      </c>
      <c r="F65" s="7">
        <v>1</v>
      </c>
      <c r="G65" s="7">
        <v>1</v>
      </c>
      <c r="H65" s="7" t="s">
        <v>188</v>
      </c>
      <c r="I65" s="7">
        <v>1</v>
      </c>
      <c r="J65" s="7">
        <v>1</v>
      </c>
      <c r="K65" s="7">
        <f t="shared" si="22"/>
        <v>-1</v>
      </c>
      <c r="L65" s="7">
        <f t="shared" si="2"/>
        <v>-1</v>
      </c>
      <c r="M65" s="7">
        <f t="shared" si="2"/>
        <v>-1</v>
      </c>
      <c r="N65" s="7">
        <f t="shared" si="2"/>
        <v>1</v>
      </c>
      <c r="O65" s="7">
        <f t="shared" si="2"/>
        <v>-1</v>
      </c>
      <c r="P65" s="7">
        <v>9</v>
      </c>
      <c r="Q65" s="7" t="str">
        <f t="shared" si="61"/>
        <v>NoPAMS-CAP0900-L</v>
      </c>
      <c r="AY65" s="7">
        <f t="shared" si="5"/>
        <v>0</v>
      </c>
      <c r="BA65" s="7">
        <v>1</v>
      </c>
      <c r="BE65" s="7">
        <v>1</v>
      </c>
    </row>
    <row r="66" spans="1:57" s="7" customFormat="1">
      <c r="A66" s="17">
        <v>0</v>
      </c>
      <c r="B66" s="7" t="s">
        <v>313</v>
      </c>
      <c r="C66" s="7" t="s">
        <v>201</v>
      </c>
      <c r="D66" s="7" t="s">
        <v>30</v>
      </c>
      <c r="E66" s="7" t="s">
        <v>237</v>
      </c>
      <c r="F66" s="7">
        <v>1</v>
      </c>
      <c r="G66" s="7">
        <v>1</v>
      </c>
      <c r="H66" s="7" t="s">
        <v>188</v>
      </c>
      <c r="I66" s="7">
        <v>1</v>
      </c>
      <c r="J66" s="7">
        <v>1</v>
      </c>
      <c r="K66" s="7">
        <f t="shared" si="22"/>
        <v>-1</v>
      </c>
      <c r="L66" s="7">
        <f t="shared" si="2"/>
        <v>-1</v>
      </c>
      <c r="M66" s="7">
        <f t="shared" si="2"/>
        <v>-1</v>
      </c>
      <c r="N66" s="7">
        <f t="shared" si="2"/>
        <v>1</v>
      </c>
      <c r="O66" s="7">
        <f t="shared" si="2"/>
        <v>-1</v>
      </c>
      <c r="P66" s="7">
        <v>8</v>
      </c>
      <c r="Q66" s="7" t="str">
        <f t="shared" si="61"/>
        <v>NoPAMS-CAP0800-L</v>
      </c>
      <c r="AY66" s="7">
        <f t="shared" si="5"/>
        <v>0</v>
      </c>
      <c r="BA66" s="7">
        <v>1</v>
      </c>
      <c r="BE66" s="7">
        <v>1</v>
      </c>
    </row>
    <row r="67" spans="1:57" s="7" customFormat="1">
      <c r="A67" s="17">
        <v>0</v>
      </c>
      <c r="B67" s="7" t="s">
        <v>314</v>
      </c>
      <c r="C67" s="7" t="s">
        <v>201</v>
      </c>
      <c r="D67" s="7" t="s">
        <v>30</v>
      </c>
      <c r="E67" s="7" t="s">
        <v>237</v>
      </c>
      <c r="F67" s="7">
        <v>1</v>
      </c>
      <c r="G67" s="7">
        <v>1</v>
      </c>
      <c r="H67" s="7" t="s">
        <v>188</v>
      </c>
      <c r="I67" s="7">
        <v>1</v>
      </c>
      <c r="J67" s="7">
        <v>1</v>
      </c>
      <c r="K67" s="7">
        <f t="shared" si="22"/>
        <v>-1</v>
      </c>
      <c r="L67" s="7">
        <f t="shared" si="2"/>
        <v>-1</v>
      </c>
      <c r="M67" s="7">
        <f t="shared" si="2"/>
        <v>-1</v>
      </c>
      <c r="N67" s="7">
        <f t="shared" si="2"/>
        <v>1</v>
      </c>
      <c r="O67" s="7">
        <f t="shared" si="2"/>
        <v>-1</v>
      </c>
      <c r="P67" s="7">
        <v>7.5</v>
      </c>
      <c r="Q67" s="7" t="str">
        <f t="shared" si="61"/>
        <v>NoPAMS-CAP0750-L</v>
      </c>
      <c r="AY67" s="7">
        <f t="shared" si="5"/>
        <v>0</v>
      </c>
      <c r="BA67" s="7">
        <v>1</v>
      </c>
      <c r="BE67" s="7">
        <v>1</v>
      </c>
    </row>
    <row r="68" spans="1:57" s="7" customFormat="1">
      <c r="A68" s="17">
        <v>0</v>
      </c>
      <c r="B68" s="7" t="s">
        <v>326</v>
      </c>
      <c r="C68" s="7" t="s">
        <v>201</v>
      </c>
      <c r="D68" s="7" t="s">
        <v>30</v>
      </c>
      <c r="E68" s="7" t="s">
        <v>237</v>
      </c>
      <c r="F68" s="7">
        <v>1</v>
      </c>
      <c r="G68" s="7">
        <v>1</v>
      </c>
      <c r="H68" s="7" t="s">
        <v>188</v>
      </c>
      <c r="I68" s="7">
        <v>1</v>
      </c>
      <c r="J68" s="7">
        <v>1</v>
      </c>
      <c r="K68" s="7">
        <f t="shared" si="22"/>
        <v>-1</v>
      </c>
      <c r="L68" s="7">
        <f t="shared" si="2"/>
        <v>-1</v>
      </c>
      <c r="M68" s="7">
        <f t="shared" si="2"/>
        <v>-1</v>
      </c>
      <c r="N68" s="7">
        <f t="shared" si="2"/>
        <v>1</v>
      </c>
      <c r="O68" s="7">
        <f t="shared" si="2"/>
        <v>-1</v>
      </c>
      <c r="P68" s="7">
        <v>7.35</v>
      </c>
      <c r="Q68" s="7" t="str">
        <f t="shared" ref="Q68:Q69" si="62">B68</f>
        <v>NoPAMS-CAP0735-L</v>
      </c>
      <c r="AY68" s="7">
        <f t="shared" si="5"/>
        <v>0</v>
      </c>
      <c r="BA68" s="7">
        <v>1</v>
      </c>
      <c r="BE68" s="7">
        <v>1</v>
      </c>
    </row>
    <row r="69" spans="1:57" s="7" customFormat="1">
      <c r="A69" s="17">
        <v>0</v>
      </c>
      <c r="B69" s="7" t="s">
        <v>335</v>
      </c>
      <c r="C69" s="7" t="s">
        <v>201</v>
      </c>
      <c r="D69" s="7" t="s">
        <v>30</v>
      </c>
      <c r="E69" s="7" t="s">
        <v>237</v>
      </c>
      <c r="F69" s="7">
        <v>1</v>
      </c>
      <c r="G69" s="7">
        <v>1</v>
      </c>
      <c r="H69" s="7" t="s">
        <v>188</v>
      </c>
      <c r="I69" s="7">
        <v>1</v>
      </c>
      <c r="J69" s="7">
        <v>1</v>
      </c>
      <c r="K69" s="7">
        <f t="shared" si="22"/>
        <v>-1</v>
      </c>
      <c r="L69" s="7">
        <f t="shared" si="2"/>
        <v>-1</v>
      </c>
      <c r="M69" s="7">
        <f t="shared" si="2"/>
        <v>-1</v>
      </c>
      <c r="N69" s="7">
        <f t="shared" si="2"/>
        <v>1</v>
      </c>
      <c r="O69" s="7">
        <f t="shared" si="2"/>
        <v>-1</v>
      </c>
      <c r="P69" s="7">
        <v>7.2</v>
      </c>
      <c r="Q69" s="7" t="str">
        <f t="shared" si="62"/>
        <v>NoPAMS-CAP0720-L</v>
      </c>
      <c r="AY69" s="7">
        <f t="shared" ref="AY69" si="63">IF(LEN(B69)&gt;30,1,0)</f>
        <v>0</v>
      </c>
      <c r="BA69" s="7">
        <v>1</v>
      </c>
      <c r="BE69" s="7">
        <v>1</v>
      </c>
    </row>
    <row r="70" spans="1:57" s="7" customFormat="1">
      <c r="A70" s="17">
        <v>0</v>
      </c>
      <c r="B70" s="7" t="s">
        <v>315</v>
      </c>
      <c r="C70" s="7" t="s">
        <v>201</v>
      </c>
      <c r="D70" s="7" t="s">
        <v>30</v>
      </c>
      <c r="E70" s="7" t="s">
        <v>237</v>
      </c>
      <c r="F70" s="7">
        <v>1</v>
      </c>
      <c r="G70" s="7">
        <v>1</v>
      </c>
      <c r="H70" s="7" t="s">
        <v>188</v>
      </c>
      <c r="I70" s="7">
        <v>1</v>
      </c>
      <c r="J70" s="7">
        <v>1</v>
      </c>
      <c r="K70" s="7">
        <f t="shared" si="22"/>
        <v>-1</v>
      </c>
      <c r="L70" s="7">
        <f t="shared" si="2"/>
        <v>-1</v>
      </c>
      <c r="M70" s="7">
        <f t="shared" si="2"/>
        <v>-1</v>
      </c>
      <c r="N70" s="7">
        <f t="shared" si="2"/>
        <v>1</v>
      </c>
      <c r="O70" s="7">
        <f t="shared" si="2"/>
        <v>-1</v>
      </c>
      <c r="P70" s="7">
        <v>7</v>
      </c>
      <c r="Q70" s="7" t="str">
        <f t="shared" si="61"/>
        <v>NoPAMS-CAP0700-L</v>
      </c>
      <c r="AY70" s="7">
        <f t="shared" si="5"/>
        <v>0</v>
      </c>
      <c r="BA70" s="7">
        <v>1</v>
      </c>
      <c r="BE70" s="7">
        <v>1</v>
      </c>
    </row>
    <row r="71" spans="1:57" s="7" customFormat="1">
      <c r="A71" s="17">
        <v>0</v>
      </c>
      <c r="B71" s="7" t="s">
        <v>357</v>
      </c>
      <c r="C71" s="7" t="s">
        <v>201</v>
      </c>
      <c r="D71" s="7" t="s">
        <v>30</v>
      </c>
      <c r="E71" s="7" t="s">
        <v>358</v>
      </c>
      <c r="F71" s="7">
        <v>1</v>
      </c>
      <c r="G71" s="7">
        <v>1</v>
      </c>
      <c r="H71" s="7" t="s">
        <v>188</v>
      </c>
      <c r="I71" s="7">
        <v>1</v>
      </c>
      <c r="J71" s="7">
        <v>1</v>
      </c>
      <c r="K71" s="7">
        <f t="shared" si="22"/>
        <v>-1</v>
      </c>
      <c r="L71" s="7">
        <f t="shared" si="2"/>
        <v>-1</v>
      </c>
      <c r="M71" s="7">
        <f t="shared" si="2"/>
        <v>-1</v>
      </c>
      <c r="N71" s="7">
        <f t="shared" si="2"/>
        <v>1</v>
      </c>
      <c r="O71" s="7">
        <f t="shared" si="2"/>
        <v>-1</v>
      </c>
      <c r="P71" s="7">
        <v>7</v>
      </c>
      <c r="Q71" s="7" t="str">
        <f t="shared" ref="Q71" si="64">B71</f>
        <v>NoPAMS-CAP0700-IRP</v>
      </c>
      <c r="AY71" s="7">
        <f t="shared" ref="AY71" si="65">IF(LEN(B71)&gt;30,1,0)</f>
        <v>0</v>
      </c>
      <c r="BA71" s="7">
        <v>1</v>
      </c>
      <c r="BE71" s="7">
        <v>1</v>
      </c>
    </row>
    <row r="72" spans="1:57" s="7" customFormat="1">
      <c r="A72" s="17">
        <v>0</v>
      </c>
      <c r="B72" s="7" t="s">
        <v>369</v>
      </c>
      <c r="C72" s="7" t="s">
        <v>201</v>
      </c>
      <c r="D72" s="7" t="s">
        <v>30</v>
      </c>
      <c r="E72" s="7" t="s">
        <v>363</v>
      </c>
      <c r="F72" s="7">
        <v>1</v>
      </c>
      <c r="G72" s="7">
        <v>1</v>
      </c>
      <c r="H72" s="7" t="s">
        <v>188</v>
      </c>
      <c r="I72" s="7">
        <v>1</v>
      </c>
      <c r="J72" s="7">
        <v>1</v>
      </c>
      <c r="K72" s="7">
        <f t="shared" si="22"/>
        <v>-1</v>
      </c>
      <c r="L72" s="7">
        <f t="shared" si="2"/>
        <v>-1</v>
      </c>
      <c r="M72" s="7">
        <f t="shared" si="2"/>
        <v>-1</v>
      </c>
      <c r="N72" s="7">
        <f t="shared" si="2"/>
        <v>1</v>
      </c>
      <c r="O72" s="7">
        <f t="shared" si="2"/>
        <v>-1</v>
      </c>
      <c r="P72" s="7">
        <v>7</v>
      </c>
      <c r="Q72" s="7" t="str">
        <f t="shared" ref="Q72" si="66">B72</f>
        <v>NoPAMS-CAP0700-IRPN</v>
      </c>
      <c r="AY72" s="7">
        <f t="shared" ref="AY72" si="67">IF(LEN(B72)&gt;30,1,0)</f>
        <v>0</v>
      </c>
      <c r="BA72" s="7">
        <v>1</v>
      </c>
      <c r="BE72" s="7">
        <v>1</v>
      </c>
    </row>
    <row r="73" spans="1:57" s="7" customFormat="1">
      <c r="A73" s="17">
        <v>0</v>
      </c>
      <c r="B73" s="7" t="s">
        <v>316</v>
      </c>
      <c r="C73" s="7" t="s">
        <v>201</v>
      </c>
      <c r="D73" s="7" t="s">
        <v>30</v>
      </c>
      <c r="E73" s="7" t="s">
        <v>237</v>
      </c>
      <c r="F73" s="7">
        <v>1</v>
      </c>
      <c r="G73" s="7">
        <v>1</v>
      </c>
      <c r="H73" s="7" t="s">
        <v>188</v>
      </c>
      <c r="I73" s="7">
        <v>1</v>
      </c>
      <c r="J73" s="7">
        <v>1</v>
      </c>
      <c r="K73" s="7">
        <f t="shared" si="22"/>
        <v>-1</v>
      </c>
      <c r="L73" s="7">
        <f t="shared" si="2"/>
        <v>-1</v>
      </c>
      <c r="M73" s="7">
        <f t="shared" si="2"/>
        <v>-1</v>
      </c>
      <c r="N73" s="7">
        <f t="shared" si="2"/>
        <v>1</v>
      </c>
      <c r="O73" s="7">
        <f t="shared" si="2"/>
        <v>-1</v>
      </c>
      <c r="P73" s="7">
        <v>6.75</v>
      </c>
      <c r="Q73" s="7" t="str">
        <f t="shared" si="61"/>
        <v>NoPAMS-CAP0675-L</v>
      </c>
      <c r="AY73" s="7">
        <f t="shared" si="5"/>
        <v>0</v>
      </c>
      <c r="BA73" s="7">
        <v>1</v>
      </c>
      <c r="BE73" s="7">
        <v>1</v>
      </c>
    </row>
    <row r="74" spans="1:57" s="7" customFormat="1">
      <c r="A74" s="17">
        <v>0</v>
      </c>
      <c r="B74" s="7" t="s">
        <v>317</v>
      </c>
      <c r="C74" s="7" t="s">
        <v>201</v>
      </c>
      <c r="D74" s="7" t="s">
        <v>30</v>
      </c>
      <c r="E74" s="7" t="s">
        <v>237</v>
      </c>
      <c r="F74" s="7">
        <v>1</v>
      </c>
      <c r="G74" s="7">
        <v>1</v>
      </c>
      <c r="H74" s="7" t="s">
        <v>188</v>
      </c>
      <c r="I74" s="7">
        <v>1</v>
      </c>
      <c r="J74" s="7">
        <v>1</v>
      </c>
      <c r="K74" s="7">
        <f t="shared" si="22"/>
        <v>-1</v>
      </c>
      <c r="L74" s="7">
        <f t="shared" si="2"/>
        <v>-1</v>
      </c>
      <c r="M74" s="7">
        <f t="shared" si="2"/>
        <v>-1</v>
      </c>
      <c r="N74" s="7">
        <f t="shared" si="2"/>
        <v>1</v>
      </c>
      <c r="O74" s="7">
        <f t="shared" si="2"/>
        <v>-1</v>
      </c>
      <c r="P74" s="7">
        <v>6.5</v>
      </c>
      <c r="Q74" s="7" t="str">
        <f t="shared" si="61"/>
        <v>NoPAMS-CAP0650-L</v>
      </c>
      <c r="AY74" s="7">
        <f t="shared" si="5"/>
        <v>0</v>
      </c>
      <c r="BA74" s="7">
        <v>1</v>
      </c>
      <c r="BE74" s="7">
        <v>1</v>
      </c>
    </row>
    <row r="75" spans="1:57" s="7" customFormat="1">
      <c r="A75" s="17">
        <v>0</v>
      </c>
      <c r="B75" s="7" t="s">
        <v>318</v>
      </c>
      <c r="C75" s="7" t="s">
        <v>201</v>
      </c>
      <c r="D75" s="7" t="s">
        <v>30</v>
      </c>
      <c r="E75" s="7" t="s">
        <v>237</v>
      </c>
      <c r="F75" s="7">
        <v>1</v>
      </c>
      <c r="G75" s="7">
        <v>1</v>
      </c>
      <c r="H75" s="7" t="s">
        <v>188</v>
      </c>
      <c r="I75" s="7">
        <v>1</v>
      </c>
      <c r="J75" s="7">
        <v>1</v>
      </c>
      <c r="K75" s="7">
        <f t="shared" si="22"/>
        <v>-1</v>
      </c>
      <c r="L75" s="7">
        <f t="shared" si="2"/>
        <v>-1</v>
      </c>
      <c r="M75" s="7">
        <f t="shared" si="2"/>
        <v>-1</v>
      </c>
      <c r="N75" s="7">
        <f t="shared" si="2"/>
        <v>1</v>
      </c>
      <c r="O75" s="7">
        <f t="shared" si="2"/>
        <v>-1</v>
      </c>
      <c r="P75" s="7">
        <v>6.25</v>
      </c>
      <c r="Q75" s="7" t="str">
        <f t="shared" si="61"/>
        <v>NoPAMS-CAP0625-L</v>
      </c>
      <c r="AY75" s="7">
        <f t="shared" si="5"/>
        <v>0</v>
      </c>
      <c r="BA75" s="7">
        <v>1</v>
      </c>
      <c r="BE75" s="7">
        <v>1</v>
      </c>
    </row>
    <row r="76" spans="1:57" s="7" customFormat="1">
      <c r="A76" s="17">
        <v>0</v>
      </c>
      <c r="B76" s="7" t="s">
        <v>319</v>
      </c>
      <c r="C76" s="7" t="s">
        <v>201</v>
      </c>
      <c r="D76" s="7" t="s">
        <v>30</v>
      </c>
      <c r="E76" s="7" t="s">
        <v>237</v>
      </c>
      <c r="F76" s="7">
        <v>1</v>
      </c>
      <c r="G76" s="7">
        <v>1</v>
      </c>
      <c r="H76" s="7" t="s">
        <v>188</v>
      </c>
      <c r="I76" s="7">
        <v>1</v>
      </c>
      <c r="J76" s="7">
        <v>1</v>
      </c>
      <c r="K76" s="7">
        <f t="shared" si="22"/>
        <v>-1</v>
      </c>
      <c r="L76" s="7">
        <f t="shared" si="2"/>
        <v>-1</v>
      </c>
      <c r="M76" s="7">
        <f t="shared" si="2"/>
        <v>-1</v>
      </c>
      <c r="N76" s="7">
        <f t="shared" si="2"/>
        <v>1</v>
      </c>
      <c r="O76" s="7">
        <f t="shared" si="2"/>
        <v>-1</v>
      </c>
      <c r="P76" s="7">
        <v>6</v>
      </c>
      <c r="Q76" s="7" t="str">
        <f t="shared" si="61"/>
        <v>NoPAMS-CAP0600-L</v>
      </c>
      <c r="AY76" s="7">
        <f t="shared" si="5"/>
        <v>0</v>
      </c>
      <c r="BA76" s="7">
        <v>1</v>
      </c>
      <c r="BE76" s="7">
        <v>1</v>
      </c>
    </row>
    <row r="77" spans="1:57" s="7" customFormat="1">
      <c r="A77" s="17">
        <v>0</v>
      </c>
      <c r="B77" s="7" t="s">
        <v>320</v>
      </c>
      <c r="C77" s="7" t="s">
        <v>201</v>
      </c>
      <c r="D77" s="7" t="s">
        <v>30</v>
      </c>
      <c r="E77" s="7" t="s">
        <v>237</v>
      </c>
      <c r="F77" s="7">
        <v>1</v>
      </c>
      <c r="G77" s="7">
        <v>1</v>
      </c>
      <c r="H77" s="7" t="s">
        <v>188</v>
      </c>
      <c r="I77" s="7">
        <v>1</v>
      </c>
      <c r="J77" s="7">
        <v>1</v>
      </c>
      <c r="K77" s="7">
        <f t="shared" si="22"/>
        <v>-1</v>
      </c>
      <c r="L77" s="7">
        <f t="shared" si="2"/>
        <v>-1</v>
      </c>
      <c r="M77" s="7">
        <f t="shared" si="2"/>
        <v>-1</v>
      </c>
      <c r="N77" s="7">
        <f t="shared" si="2"/>
        <v>1</v>
      </c>
      <c r="O77" s="7">
        <f t="shared" si="2"/>
        <v>-1</v>
      </c>
      <c r="P77" s="7">
        <v>5.75</v>
      </c>
      <c r="Q77" s="7" t="str">
        <f t="shared" si="61"/>
        <v>NoPAMS-CAP0575-L</v>
      </c>
      <c r="AY77" s="7">
        <f t="shared" si="5"/>
        <v>0</v>
      </c>
      <c r="BA77" s="7">
        <v>1</v>
      </c>
      <c r="BE77" s="7">
        <v>1</v>
      </c>
    </row>
    <row r="78" spans="1:57" s="7" customFormat="1">
      <c r="A78" s="17">
        <v>0</v>
      </c>
      <c r="B78" s="7" t="s">
        <v>242</v>
      </c>
      <c r="C78" s="7" t="s">
        <v>201</v>
      </c>
      <c r="D78" s="7" t="s">
        <v>30</v>
      </c>
      <c r="E78" s="7" t="s">
        <v>241</v>
      </c>
      <c r="F78" s="7">
        <v>1</v>
      </c>
      <c r="G78" s="7">
        <v>1</v>
      </c>
      <c r="H78" s="7" t="s">
        <v>188</v>
      </c>
      <c r="I78" s="7">
        <v>1</v>
      </c>
      <c r="J78" s="7">
        <v>1</v>
      </c>
      <c r="K78" s="7">
        <f t="shared" si="22"/>
        <v>-1</v>
      </c>
      <c r="L78" s="7">
        <f t="shared" si="2"/>
        <v>-1</v>
      </c>
      <c r="M78" s="7">
        <f t="shared" si="2"/>
        <v>-1</v>
      </c>
      <c r="N78" s="7">
        <f t="shared" si="2"/>
        <v>1</v>
      </c>
      <c r="O78" s="7">
        <f t="shared" si="2"/>
        <v>-1</v>
      </c>
      <c r="Q78" s="7" t="str">
        <f t="shared" si="61"/>
        <v>NoPAMS-MRE-LEAF</v>
      </c>
      <c r="AY78" s="7">
        <f t="shared" si="5"/>
        <v>0</v>
      </c>
      <c r="AZ78" s="7">
        <v>1</v>
      </c>
    </row>
    <row r="79" spans="1:57" s="7" customFormat="1">
      <c r="A79" s="17">
        <v>0</v>
      </c>
      <c r="B79" s="7" t="s">
        <v>243</v>
      </c>
      <c r="C79" s="7" t="s">
        <v>201</v>
      </c>
      <c r="D79" s="7" t="s">
        <v>31</v>
      </c>
      <c r="E79" s="7" t="s">
        <v>241</v>
      </c>
      <c r="F79" s="7">
        <v>1</v>
      </c>
      <c r="G79" s="7">
        <v>1</v>
      </c>
      <c r="H79" s="7" t="s">
        <v>188</v>
      </c>
      <c r="I79" s="7">
        <v>1</v>
      </c>
      <c r="J79" s="7">
        <v>1</v>
      </c>
      <c r="K79" s="7">
        <f t="shared" si="22"/>
        <v>-1</v>
      </c>
      <c r="L79" s="7">
        <f t="shared" si="2"/>
        <v>-1</v>
      </c>
      <c r="M79" s="7">
        <f t="shared" si="2"/>
        <v>-1</v>
      </c>
      <c r="N79" s="7">
        <f t="shared" si="2"/>
        <v>1</v>
      </c>
      <c r="O79" s="7">
        <f t="shared" si="2"/>
        <v>-1</v>
      </c>
      <c r="Q79" s="7" t="str">
        <f t="shared" si="61"/>
        <v>NoPAMS-MRE-LEAF-TrGr</v>
      </c>
      <c r="AY79" s="7">
        <f t="shared" si="5"/>
        <v>0</v>
      </c>
      <c r="AZ79" s="7">
        <v>1</v>
      </c>
    </row>
    <row r="80" spans="1:57" s="7" customFormat="1">
      <c r="A80" s="17">
        <v>0</v>
      </c>
      <c r="B80" s="7" t="s">
        <v>253</v>
      </c>
      <c r="C80" s="7" t="s">
        <v>201</v>
      </c>
      <c r="D80" s="7" t="s">
        <v>30</v>
      </c>
      <c r="E80" s="7" t="s">
        <v>245</v>
      </c>
      <c r="F80" s="7">
        <v>1</v>
      </c>
      <c r="G80" s="7">
        <v>1</v>
      </c>
      <c r="H80" s="7" t="s">
        <v>188</v>
      </c>
      <c r="I80" s="7">
        <v>1</v>
      </c>
      <c r="J80" s="7">
        <v>1</v>
      </c>
      <c r="K80" s="7">
        <f t="shared" si="22"/>
        <v>-1</v>
      </c>
      <c r="L80" s="7">
        <f t="shared" si="2"/>
        <v>-1</v>
      </c>
      <c r="M80" s="7">
        <f t="shared" si="2"/>
        <v>-1</v>
      </c>
      <c r="N80" s="7">
        <f t="shared" si="2"/>
        <v>1</v>
      </c>
      <c r="O80" s="7">
        <f t="shared" si="2"/>
        <v>-1</v>
      </c>
      <c r="Q80" s="7" t="str">
        <f t="shared" ref="Q80" si="68">B80</f>
        <v>NoPAMS-RE-LEAF</v>
      </c>
      <c r="AY80" s="7">
        <f t="shared" si="5"/>
        <v>0</v>
      </c>
      <c r="AZ80" s="7">
        <v>1</v>
      </c>
    </row>
    <row r="81" spans="1:57" s="7" customFormat="1">
      <c r="A81" s="17">
        <v>0</v>
      </c>
      <c r="B81" s="7" t="s">
        <v>244</v>
      </c>
      <c r="C81" s="7" t="s">
        <v>201</v>
      </c>
      <c r="D81" s="7" t="s">
        <v>31</v>
      </c>
      <c r="E81" s="7" t="s">
        <v>245</v>
      </c>
      <c r="F81" s="7">
        <v>1</v>
      </c>
      <c r="G81" s="7">
        <v>1</v>
      </c>
      <c r="H81" s="7" t="s">
        <v>188</v>
      </c>
      <c r="I81" s="7">
        <v>1</v>
      </c>
      <c r="J81" s="7">
        <v>1</v>
      </c>
      <c r="K81" s="7">
        <f t="shared" si="22"/>
        <v>-1</v>
      </c>
      <c r="L81" s="7">
        <f t="shared" si="2"/>
        <v>-1</v>
      </c>
      <c r="M81" s="7">
        <f t="shared" si="2"/>
        <v>-1</v>
      </c>
      <c r="N81" s="7">
        <f t="shared" si="2"/>
        <v>1</v>
      </c>
      <c r="O81" s="7">
        <f t="shared" si="2"/>
        <v>-1</v>
      </c>
      <c r="Q81" s="7" t="str">
        <f t="shared" si="61"/>
        <v>NoPAMS-RE-LEAF-TrGr</v>
      </c>
      <c r="AY81" s="7">
        <f t="shared" si="5"/>
        <v>0</v>
      </c>
      <c r="AZ81" s="7">
        <v>1</v>
      </c>
    </row>
    <row r="82" spans="1:57" s="7" customFormat="1">
      <c r="A82" s="17">
        <v>0</v>
      </c>
      <c r="B82" s="7" t="s">
        <v>246</v>
      </c>
      <c r="C82" s="7" t="s">
        <v>201</v>
      </c>
      <c r="D82" s="7" t="s">
        <v>30</v>
      </c>
      <c r="E82" s="7" t="s">
        <v>247</v>
      </c>
      <c r="F82" s="7">
        <v>1</v>
      </c>
      <c r="G82" s="7">
        <v>1</v>
      </c>
      <c r="H82" s="7" t="s">
        <v>189</v>
      </c>
      <c r="I82" s="7">
        <v>1</v>
      </c>
      <c r="J82" s="7">
        <v>1</v>
      </c>
      <c r="K82" s="7">
        <f t="shared" si="22"/>
        <v>2</v>
      </c>
      <c r="L82" s="7">
        <f t="shared" si="2"/>
        <v>2</v>
      </c>
      <c r="M82" s="7">
        <f t="shared" si="2"/>
        <v>1</v>
      </c>
      <c r="N82" s="7">
        <f t="shared" si="2"/>
        <v>2</v>
      </c>
      <c r="O82" s="7">
        <f t="shared" si="2"/>
        <v>1</v>
      </c>
      <c r="Q82" s="7" t="str">
        <f t="shared" si="61"/>
        <v>CPAMS-NoIRP-LEAF</v>
      </c>
      <c r="AY82" s="7">
        <f t="shared" si="5"/>
        <v>0</v>
      </c>
      <c r="AZ82" s="7">
        <v>1</v>
      </c>
    </row>
    <row r="83" spans="1:57" s="7" customFormat="1">
      <c r="A83" s="17">
        <v>0</v>
      </c>
      <c r="B83" s="7" t="s">
        <v>248</v>
      </c>
      <c r="C83" s="7" t="s">
        <v>201</v>
      </c>
      <c r="D83" s="7" t="s">
        <v>30</v>
      </c>
      <c r="E83" s="7" t="s">
        <v>249</v>
      </c>
      <c r="F83" s="7">
        <v>1</v>
      </c>
      <c r="G83" s="7">
        <v>1</v>
      </c>
      <c r="H83" s="7" t="s">
        <v>189</v>
      </c>
      <c r="I83" s="7">
        <v>1</v>
      </c>
      <c r="J83" s="7">
        <v>1</v>
      </c>
      <c r="K83" s="7">
        <f>INDEX(K$1:K$4,MATCH($H83,$J$1:$J$4,0))</f>
        <v>2</v>
      </c>
      <c r="L83" s="7">
        <f t="shared" ref="L83:O158" si="69">INDEX(L$1:L$4,MATCH($H83,$J$1:$J$4,0))</f>
        <v>2</v>
      </c>
      <c r="M83" s="7">
        <f t="shared" si="69"/>
        <v>1</v>
      </c>
      <c r="N83" s="7">
        <f t="shared" si="69"/>
        <v>2</v>
      </c>
      <c r="O83" s="7">
        <f t="shared" si="69"/>
        <v>1</v>
      </c>
      <c r="Q83" s="7" t="str">
        <f t="shared" ref="Q83" si="70">B83</f>
        <v>CPAMS-MRE-LEAF</v>
      </c>
      <c r="AY83" s="7">
        <f t="shared" si="5"/>
        <v>0</v>
      </c>
      <c r="AZ83" s="7">
        <v>1</v>
      </c>
    </row>
    <row r="84" spans="1:57" s="7" customFormat="1">
      <c r="A84" s="17">
        <v>0</v>
      </c>
      <c r="B84" s="7" t="s">
        <v>250</v>
      </c>
      <c r="C84" s="7" t="s">
        <v>201</v>
      </c>
      <c r="D84" s="7" t="s">
        <v>31</v>
      </c>
      <c r="E84" s="7" t="s">
        <v>247</v>
      </c>
      <c r="F84" s="7">
        <v>1</v>
      </c>
      <c r="G84" s="7">
        <v>1</v>
      </c>
      <c r="H84" s="7" t="s">
        <v>189</v>
      </c>
      <c r="I84" s="7">
        <v>1</v>
      </c>
      <c r="J84" s="7">
        <v>1</v>
      </c>
      <c r="K84" s="7">
        <f t="shared" si="22"/>
        <v>2</v>
      </c>
      <c r="L84" s="7">
        <f t="shared" si="2"/>
        <v>2</v>
      </c>
      <c r="M84" s="7">
        <f t="shared" si="2"/>
        <v>1</v>
      </c>
      <c r="N84" s="7">
        <f t="shared" si="2"/>
        <v>2</v>
      </c>
      <c r="O84" s="7">
        <f t="shared" si="2"/>
        <v>1</v>
      </c>
      <c r="Q84" s="7" t="str">
        <f>B84</f>
        <v>CPAMS-NoIRP-LEAF-TrGr</v>
      </c>
      <c r="AY84" s="7">
        <f t="shared" si="5"/>
        <v>0</v>
      </c>
      <c r="AZ84" s="7">
        <v>1</v>
      </c>
    </row>
    <row r="85" spans="1:57" s="7" customFormat="1">
      <c r="A85" s="17">
        <v>0</v>
      </c>
      <c r="B85" s="7" t="s">
        <v>251</v>
      </c>
      <c r="C85" s="7" t="s">
        <v>201</v>
      </c>
      <c r="D85" s="7" t="s">
        <v>31</v>
      </c>
      <c r="E85" s="7" t="s">
        <v>249</v>
      </c>
      <c r="F85" s="7">
        <v>1</v>
      </c>
      <c r="G85" s="7">
        <v>1</v>
      </c>
      <c r="H85" s="7" t="s">
        <v>189</v>
      </c>
      <c r="I85" s="7">
        <v>1</v>
      </c>
      <c r="J85" s="7">
        <v>1</v>
      </c>
      <c r="K85" s="7">
        <f>INDEX(K$1:K$4,MATCH($H85,$J$1:$J$4,0))</f>
        <v>2</v>
      </c>
      <c r="L85" s="7">
        <f t="shared" si="69"/>
        <v>2</v>
      </c>
      <c r="M85" s="7">
        <f t="shared" si="69"/>
        <v>1</v>
      </c>
      <c r="N85" s="7">
        <f t="shared" si="69"/>
        <v>2</v>
      </c>
      <c r="O85" s="7">
        <f t="shared" si="69"/>
        <v>1</v>
      </c>
      <c r="Q85" s="7" t="str">
        <f t="shared" ref="Q85:Q86" si="71">B85</f>
        <v>CPAMS-MRE-LEAF-TrGr</v>
      </c>
      <c r="AY85" s="7">
        <f t="shared" si="5"/>
        <v>0</v>
      </c>
      <c r="AZ85" s="7">
        <v>1</v>
      </c>
    </row>
    <row r="86" spans="1:57" s="7" customFormat="1">
      <c r="A86" s="17">
        <v>0</v>
      </c>
      <c r="B86" s="7" t="s">
        <v>252</v>
      </c>
      <c r="C86" s="7" t="s">
        <v>201</v>
      </c>
      <c r="D86" s="7" t="s">
        <v>31</v>
      </c>
      <c r="E86" s="7" t="s">
        <v>227</v>
      </c>
      <c r="F86" s="7">
        <v>1</v>
      </c>
      <c r="G86" s="7">
        <v>1</v>
      </c>
      <c r="H86" s="7" t="s">
        <v>189</v>
      </c>
      <c r="I86" s="7">
        <v>1</v>
      </c>
      <c r="J86" s="7">
        <v>1</v>
      </c>
      <c r="K86" s="7">
        <f>INDEX(K$1:K$4,MATCH($H86,$J$1:$J$4,0))</f>
        <v>2</v>
      </c>
      <c r="L86" s="7">
        <f t="shared" si="69"/>
        <v>2</v>
      </c>
      <c r="M86" s="7">
        <f t="shared" si="69"/>
        <v>1</v>
      </c>
      <c r="N86" s="7">
        <f t="shared" si="69"/>
        <v>2</v>
      </c>
      <c r="O86" s="7">
        <f t="shared" si="69"/>
        <v>1</v>
      </c>
      <c r="Q86" s="7" t="str">
        <f t="shared" si="71"/>
        <v>CPAMS-RE-LEAF-TrGr</v>
      </c>
      <c r="AY86" s="7">
        <f t="shared" si="5"/>
        <v>0</v>
      </c>
      <c r="AZ86" s="7">
        <v>1</v>
      </c>
    </row>
    <row r="87" spans="1:57" s="7" customFormat="1">
      <c r="A87" s="17">
        <v>0</v>
      </c>
      <c r="B87" s="7" t="s">
        <v>254</v>
      </c>
      <c r="C87" s="7" t="s">
        <v>201</v>
      </c>
      <c r="D87" s="7" t="s">
        <v>30</v>
      </c>
      <c r="E87" s="7" t="s">
        <v>259</v>
      </c>
      <c r="F87" s="7">
        <v>1</v>
      </c>
      <c r="G87" s="7">
        <v>0</v>
      </c>
      <c r="H87" s="7" t="s">
        <v>189</v>
      </c>
      <c r="I87" s="7">
        <v>1</v>
      </c>
      <c r="J87" s="7">
        <v>1</v>
      </c>
      <c r="K87" s="7">
        <f t="shared" ref="K87:O159" si="72">INDEX(K$1:K$4,MATCH($H87,$J$1:$J$4,0))</f>
        <v>2</v>
      </c>
      <c r="L87" s="7">
        <f t="shared" si="69"/>
        <v>2</v>
      </c>
      <c r="M87" s="7">
        <f t="shared" si="69"/>
        <v>1</v>
      </c>
      <c r="N87" s="7">
        <f t="shared" si="69"/>
        <v>2</v>
      </c>
      <c r="O87" s="7">
        <f t="shared" si="69"/>
        <v>1</v>
      </c>
      <c r="P87" s="7">
        <v>10</v>
      </c>
      <c r="Q87" s="7" t="str">
        <f t="shared" ref="Q87:Q91" si="73">B87</f>
        <v>CPAMS-CAP10</v>
      </c>
      <c r="AY87" s="7">
        <f t="shared" si="5"/>
        <v>0</v>
      </c>
      <c r="AZ87" s="7">
        <v>1</v>
      </c>
      <c r="BA87" s="7">
        <v>1</v>
      </c>
    </row>
    <row r="88" spans="1:57" s="7" customFormat="1">
      <c r="A88" s="17">
        <v>0</v>
      </c>
      <c r="B88" s="7" t="s">
        <v>255</v>
      </c>
      <c r="C88" s="7" t="s">
        <v>201</v>
      </c>
      <c r="D88" s="7" t="s">
        <v>30</v>
      </c>
      <c r="E88" s="7" t="s">
        <v>259</v>
      </c>
      <c r="F88" s="7">
        <v>1</v>
      </c>
      <c r="G88" s="7">
        <v>0</v>
      </c>
      <c r="H88" s="7" t="s">
        <v>189</v>
      </c>
      <c r="I88" s="7">
        <v>1</v>
      </c>
      <c r="J88" s="7">
        <v>1</v>
      </c>
      <c r="K88" s="7">
        <f t="shared" si="72"/>
        <v>2</v>
      </c>
      <c r="L88" s="7">
        <f t="shared" si="69"/>
        <v>2</v>
      </c>
      <c r="M88" s="7">
        <f t="shared" si="69"/>
        <v>1</v>
      </c>
      <c r="N88" s="7">
        <f t="shared" si="69"/>
        <v>2</v>
      </c>
      <c r="O88" s="7">
        <f t="shared" si="69"/>
        <v>1</v>
      </c>
      <c r="P88" s="7">
        <v>9</v>
      </c>
      <c r="Q88" s="7" t="str">
        <f t="shared" si="73"/>
        <v>CPAMS-CAP09</v>
      </c>
      <c r="AY88" s="7">
        <f t="shared" si="5"/>
        <v>0</v>
      </c>
      <c r="AZ88" s="7">
        <v>1</v>
      </c>
      <c r="BA88" s="7">
        <v>1</v>
      </c>
    </row>
    <row r="89" spans="1:57" s="7" customFormat="1">
      <c r="A89" s="17">
        <v>0</v>
      </c>
      <c r="B89" s="7" t="s">
        <v>256</v>
      </c>
      <c r="C89" s="7" t="s">
        <v>201</v>
      </c>
      <c r="D89" s="7" t="s">
        <v>30</v>
      </c>
      <c r="E89" s="7" t="s">
        <v>259</v>
      </c>
      <c r="F89" s="7">
        <v>1</v>
      </c>
      <c r="G89" s="7">
        <v>0</v>
      </c>
      <c r="H89" s="7" t="s">
        <v>189</v>
      </c>
      <c r="I89" s="7">
        <v>1</v>
      </c>
      <c r="J89" s="7">
        <v>1</v>
      </c>
      <c r="K89" s="7">
        <f t="shared" si="72"/>
        <v>2</v>
      </c>
      <c r="L89" s="7">
        <f t="shared" si="69"/>
        <v>2</v>
      </c>
      <c r="M89" s="7">
        <f t="shared" si="69"/>
        <v>1</v>
      </c>
      <c r="N89" s="7">
        <f t="shared" si="69"/>
        <v>2</v>
      </c>
      <c r="O89" s="7">
        <f t="shared" si="69"/>
        <v>1</v>
      </c>
      <c r="P89" s="7">
        <v>8</v>
      </c>
      <c r="Q89" s="7" t="str">
        <f t="shared" si="73"/>
        <v>CPAMS-CAP08</v>
      </c>
      <c r="AY89" s="7">
        <f t="shared" si="5"/>
        <v>0</v>
      </c>
      <c r="AZ89" s="7">
        <v>1</v>
      </c>
      <c r="BA89" s="7">
        <v>1</v>
      </c>
    </row>
    <row r="90" spans="1:57" s="7" customFormat="1">
      <c r="A90" s="17">
        <v>0</v>
      </c>
      <c r="B90" s="7" t="s">
        <v>257</v>
      </c>
      <c r="C90" s="7" t="s">
        <v>201</v>
      </c>
      <c r="D90" s="7" t="s">
        <v>30</v>
      </c>
      <c r="E90" s="7" t="s">
        <v>259</v>
      </c>
      <c r="F90" s="7">
        <v>1</v>
      </c>
      <c r="G90" s="7">
        <v>0</v>
      </c>
      <c r="H90" s="7" t="s">
        <v>189</v>
      </c>
      <c r="I90" s="7">
        <v>1</v>
      </c>
      <c r="J90" s="7">
        <v>1</v>
      </c>
      <c r="K90" s="7">
        <f t="shared" si="72"/>
        <v>2</v>
      </c>
      <c r="L90" s="7">
        <f t="shared" si="69"/>
        <v>2</v>
      </c>
      <c r="M90" s="7">
        <f t="shared" si="69"/>
        <v>1</v>
      </c>
      <c r="N90" s="7">
        <f t="shared" si="69"/>
        <v>2</v>
      </c>
      <c r="O90" s="7">
        <f t="shared" si="69"/>
        <v>1</v>
      </c>
      <c r="P90" s="7">
        <v>7</v>
      </c>
      <c r="Q90" s="7" t="str">
        <f t="shared" si="73"/>
        <v>CPAMS-CAP07</v>
      </c>
      <c r="AY90" s="7">
        <f t="shared" si="5"/>
        <v>0</v>
      </c>
      <c r="AZ90" s="7">
        <v>1</v>
      </c>
      <c r="BA90" s="7">
        <v>1</v>
      </c>
    </row>
    <row r="91" spans="1:57" s="7" customFormat="1">
      <c r="A91" s="17">
        <v>0</v>
      </c>
      <c r="B91" s="7" t="s">
        <v>258</v>
      </c>
      <c r="C91" s="7" t="s">
        <v>201</v>
      </c>
      <c r="D91" s="7" t="s">
        <v>30</v>
      </c>
      <c r="E91" s="7" t="s">
        <v>259</v>
      </c>
      <c r="F91" s="7">
        <v>1</v>
      </c>
      <c r="G91" s="7">
        <v>0</v>
      </c>
      <c r="H91" s="7" t="s">
        <v>189</v>
      </c>
      <c r="I91" s="7">
        <v>1</v>
      </c>
      <c r="J91" s="7">
        <v>1</v>
      </c>
      <c r="K91" s="7">
        <f t="shared" si="72"/>
        <v>2</v>
      </c>
      <c r="L91" s="7">
        <f t="shared" si="69"/>
        <v>2</v>
      </c>
      <c r="M91" s="7">
        <f t="shared" si="69"/>
        <v>1</v>
      </c>
      <c r="N91" s="7">
        <f t="shared" si="69"/>
        <v>2</v>
      </c>
      <c r="O91" s="7">
        <f t="shared" si="69"/>
        <v>1</v>
      </c>
      <c r="P91" s="7">
        <v>6</v>
      </c>
      <c r="Q91" s="7" t="str">
        <f t="shared" si="73"/>
        <v>CPAMS-CAP06</v>
      </c>
      <c r="AY91" s="7">
        <f t="shared" si="5"/>
        <v>0</v>
      </c>
      <c r="AZ91" s="7">
        <v>1</v>
      </c>
      <c r="BA91" s="7">
        <v>1</v>
      </c>
    </row>
    <row r="92" spans="1:57" s="7" customFormat="1">
      <c r="A92" s="17">
        <v>0</v>
      </c>
      <c r="B92" s="7" t="s">
        <v>310</v>
      </c>
      <c r="C92" s="7" t="s">
        <v>201</v>
      </c>
      <c r="D92" s="7" t="s">
        <v>30</v>
      </c>
      <c r="E92" s="7" t="s">
        <v>259</v>
      </c>
      <c r="F92" s="7">
        <v>1</v>
      </c>
      <c r="G92" s="7">
        <v>1</v>
      </c>
      <c r="H92" s="7" t="s">
        <v>189</v>
      </c>
      <c r="I92" s="7">
        <v>1</v>
      </c>
      <c r="J92" s="7">
        <v>1</v>
      </c>
      <c r="K92" s="7">
        <f t="shared" si="72"/>
        <v>2</v>
      </c>
      <c r="L92" s="7">
        <f t="shared" si="69"/>
        <v>2</v>
      </c>
      <c r="M92" s="7">
        <f t="shared" si="69"/>
        <v>1</v>
      </c>
      <c r="N92" s="7">
        <f t="shared" si="69"/>
        <v>2</v>
      </c>
      <c r="O92" s="7">
        <f t="shared" si="69"/>
        <v>1</v>
      </c>
      <c r="P92" s="7">
        <v>10</v>
      </c>
      <c r="Q92" s="7" t="str">
        <f t="shared" ref="Q92:Q100" si="74">B92</f>
        <v>CPAMS-CAP1000-L</v>
      </c>
      <c r="AY92" s="7">
        <f t="shared" si="5"/>
        <v>0</v>
      </c>
      <c r="AZ92" s="7">
        <v>1</v>
      </c>
      <c r="BA92" s="7">
        <v>1</v>
      </c>
    </row>
    <row r="93" spans="1:57" s="7" customFormat="1">
      <c r="A93" s="17">
        <v>0</v>
      </c>
      <c r="B93" s="7" t="s">
        <v>309</v>
      </c>
      <c r="C93" s="7" t="s">
        <v>201</v>
      </c>
      <c r="D93" s="7" t="s">
        <v>30</v>
      </c>
      <c r="E93" s="7" t="s">
        <v>259</v>
      </c>
      <c r="F93" s="7">
        <v>1</v>
      </c>
      <c r="G93" s="7">
        <v>1</v>
      </c>
      <c r="H93" s="7" t="s">
        <v>189</v>
      </c>
      <c r="I93" s="7">
        <v>1</v>
      </c>
      <c r="J93" s="7">
        <v>1</v>
      </c>
      <c r="K93" s="7">
        <f t="shared" si="72"/>
        <v>2</v>
      </c>
      <c r="L93" s="7">
        <f t="shared" si="69"/>
        <v>2</v>
      </c>
      <c r="M93" s="7">
        <f t="shared" si="69"/>
        <v>1</v>
      </c>
      <c r="N93" s="7">
        <f t="shared" si="69"/>
        <v>2</v>
      </c>
      <c r="O93" s="7">
        <f t="shared" si="69"/>
        <v>1</v>
      </c>
      <c r="P93" s="7">
        <v>9</v>
      </c>
      <c r="Q93" s="7" t="str">
        <f t="shared" si="74"/>
        <v>CPAMS-CAP0900-L</v>
      </c>
      <c r="AY93" s="7">
        <f t="shared" si="5"/>
        <v>0</v>
      </c>
      <c r="BA93" s="7">
        <v>1</v>
      </c>
      <c r="BE93" s="7">
        <v>1</v>
      </c>
    </row>
    <row r="94" spans="1:57" s="7" customFormat="1">
      <c r="A94" s="17">
        <v>0</v>
      </c>
      <c r="B94" s="7" t="s">
        <v>308</v>
      </c>
      <c r="C94" s="7" t="s">
        <v>201</v>
      </c>
      <c r="D94" s="7" t="s">
        <v>30</v>
      </c>
      <c r="E94" s="7" t="s">
        <v>259</v>
      </c>
      <c r="F94" s="7">
        <v>1</v>
      </c>
      <c r="G94" s="7">
        <v>1</v>
      </c>
      <c r="H94" s="7" t="s">
        <v>189</v>
      </c>
      <c r="I94" s="7">
        <v>1</v>
      </c>
      <c r="J94" s="7">
        <v>1</v>
      </c>
      <c r="K94" s="7">
        <f t="shared" si="72"/>
        <v>2</v>
      </c>
      <c r="L94" s="7">
        <f t="shared" si="69"/>
        <v>2</v>
      </c>
      <c r="M94" s="7">
        <f t="shared" si="69"/>
        <v>1</v>
      </c>
      <c r="N94" s="7">
        <f t="shared" si="69"/>
        <v>2</v>
      </c>
      <c r="O94" s="7">
        <f t="shared" si="69"/>
        <v>1</v>
      </c>
      <c r="P94" s="7">
        <v>8</v>
      </c>
      <c r="Q94" s="7" t="str">
        <f t="shared" si="74"/>
        <v>CPAMS-CAP0800-L</v>
      </c>
      <c r="AY94" s="7">
        <f t="shared" si="5"/>
        <v>0</v>
      </c>
      <c r="BA94" s="7">
        <v>1</v>
      </c>
      <c r="BE94" s="7">
        <v>1</v>
      </c>
    </row>
    <row r="95" spans="1:57" s="7" customFormat="1">
      <c r="A95" s="17">
        <v>0</v>
      </c>
      <c r="B95" s="7" t="s">
        <v>307</v>
      </c>
      <c r="C95" s="7" t="s">
        <v>201</v>
      </c>
      <c r="D95" s="7" t="s">
        <v>30</v>
      </c>
      <c r="E95" s="7" t="s">
        <v>259</v>
      </c>
      <c r="F95" s="7">
        <v>1</v>
      </c>
      <c r="G95" s="7">
        <v>1</v>
      </c>
      <c r="H95" s="7" t="s">
        <v>189</v>
      </c>
      <c r="I95" s="7">
        <v>1</v>
      </c>
      <c r="J95" s="7">
        <v>1</v>
      </c>
      <c r="K95" s="7">
        <f t="shared" si="72"/>
        <v>2</v>
      </c>
      <c r="L95" s="7">
        <f t="shared" si="69"/>
        <v>2</v>
      </c>
      <c r="M95" s="7">
        <f t="shared" si="69"/>
        <v>1</v>
      </c>
      <c r="N95" s="7">
        <f t="shared" si="69"/>
        <v>2</v>
      </c>
      <c r="O95" s="7">
        <f t="shared" si="69"/>
        <v>1</v>
      </c>
      <c r="P95" s="7">
        <v>7.5</v>
      </c>
      <c r="Q95" s="7" t="str">
        <f t="shared" si="74"/>
        <v>CPAMS-CAP0750-L</v>
      </c>
      <c r="AY95" s="7">
        <f t="shared" si="5"/>
        <v>0</v>
      </c>
      <c r="BA95" s="7">
        <v>1</v>
      </c>
      <c r="BE95" s="7">
        <v>1</v>
      </c>
    </row>
    <row r="96" spans="1:57" s="7" customFormat="1">
      <c r="A96" s="17">
        <v>0</v>
      </c>
      <c r="B96" s="7" t="s">
        <v>346</v>
      </c>
      <c r="C96" s="7" t="s">
        <v>201</v>
      </c>
      <c r="D96" s="7" t="s">
        <v>30</v>
      </c>
      <c r="E96" s="7" t="s">
        <v>330</v>
      </c>
      <c r="F96" s="7">
        <v>1</v>
      </c>
      <c r="G96" s="7">
        <v>1</v>
      </c>
      <c r="H96" s="7" t="s">
        <v>189</v>
      </c>
      <c r="I96" s="7">
        <v>1</v>
      </c>
      <c r="J96" s="7">
        <v>1</v>
      </c>
      <c r="K96" s="7">
        <f t="shared" si="72"/>
        <v>2</v>
      </c>
      <c r="L96" s="7">
        <f t="shared" si="69"/>
        <v>2</v>
      </c>
      <c r="M96" s="7">
        <f t="shared" si="69"/>
        <v>1</v>
      </c>
      <c r="N96" s="7">
        <f t="shared" si="69"/>
        <v>2</v>
      </c>
      <c r="O96" s="7">
        <f t="shared" si="69"/>
        <v>1</v>
      </c>
      <c r="P96" s="7">
        <v>7.5</v>
      </c>
      <c r="Q96" s="7" t="str">
        <f t="shared" ref="Q96" si="75">B96</f>
        <v>CPAMS-CAP0750-IRP</v>
      </c>
      <c r="AY96" s="7">
        <f t="shared" si="5"/>
        <v>0</v>
      </c>
      <c r="BA96" s="7">
        <v>1</v>
      </c>
      <c r="BE96" s="7">
        <v>1</v>
      </c>
    </row>
    <row r="97" spans="1:57" s="7" customFormat="1">
      <c r="A97" s="17">
        <v>0</v>
      </c>
      <c r="B97" s="7" t="s">
        <v>370</v>
      </c>
      <c r="C97" s="7" t="s">
        <v>201</v>
      </c>
      <c r="D97" s="7" t="s">
        <v>30</v>
      </c>
      <c r="E97" s="7" t="s">
        <v>361</v>
      </c>
      <c r="F97" s="7">
        <v>1</v>
      </c>
      <c r="G97" s="7">
        <v>1</v>
      </c>
      <c r="H97" s="7" t="s">
        <v>189</v>
      </c>
      <c r="I97" s="7">
        <v>1</v>
      </c>
      <c r="J97" s="7">
        <v>1</v>
      </c>
      <c r="K97" s="7">
        <f t="shared" si="72"/>
        <v>2</v>
      </c>
      <c r="L97" s="7">
        <f t="shared" si="69"/>
        <v>2</v>
      </c>
      <c r="M97" s="7">
        <f t="shared" si="69"/>
        <v>1</v>
      </c>
      <c r="N97" s="7">
        <f t="shared" si="69"/>
        <v>2</v>
      </c>
      <c r="O97" s="7">
        <f t="shared" si="69"/>
        <v>1</v>
      </c>
      <c r="P97" s="7">
        <v>7.5</v>
      </c>
      <c r="Q97" s="7" t="str">
        <f t="shared" ref="Q97" si="76">B97</f>
        <v>CPAMS-CAP0750-IRPN</v>
      </c>
      <c r="AY97" s="7">
        <f t="shared" ref="AY97" si="77">IF(LEN(B97)&gt;30,1,0)</f>
        <v>0</v>
      </c>
      <c r="BA97" s="7">
        <v>1</v>
      </c>
      <c r="BE97" s="7">
        <v>1</v>
      </c>
    </row>
    <row r="98" spans="1:57" s="7" customFormat="1">
      <c r="A98" s="17">
        <v>0</v>
      </c>
      <c r="B98" s="7" t="s">
        <v>334</v>
      </c>
      <c r="C98" s="7" t="s">
        <v>201</v>
      </c>
      <c r="D98" s="7" t="s">
        <v>30</v>
      </c>
      <c r="E98" s="7" t="s">
        <v>259</v>
      </c>
      <c r="F98" s="7">
        <v>1</v>
      </c>
      <c r="G98" s="7">
        <v>1</v>
      </c>
      <c r="H98" s="7" t="s">
        <v>189</v>
      </c>
      <c r="I98" s="7">
        <v>1</v>
      </c>
      <c r="J98" s="7">
        <v>1</v>
      </c>
      <c r="K98" s="7">
        <f t="shared" si="72"/>
        <v>2</v>
      </c>
      <c r="L98" s="7">
        <f t="shared" si="69"/>
        <v>2</v>
      </c>
      <c r="M98" s="7">
        <f t="shared" si="69"/>
        <v>1</v>
      </c>
      <c r="N98" s="7">
        <f t="shared" si="69"/>
        <v>2</v>
      </c>
      <c r="O98" s="7">
        <f t="shared" si="69"/>
        <v>1</v>
      </c>
      <c r="P98" s="7">
        <v>7.35</v>
      </c>
      <c r="Q98" s="7" t="str">
        <f t="shared" ref="Q98" si="78">B98</f>
        <v>CPAMS-CAP0735-L</v>
      </c>
      <c r="AY98" s="7">
        <f t="shared" si="5"/>
        <v>0</v>
      </c>
      <c r="BA98" s="7">
        <v>1</v>
      </c>
      <c r="BE98" s="7">
        <v>1</v>
      </c>
    </row>
    <row r="99" spans="1:57" s="7" customFormat="1">
      <c r="A99" s="17">
        <v>0</v>
      </c>
      <c r="B99" s="7" t="s">
        <v>306</v>
      </c>
      <c r="C99" s="7" t="s">
        <v>201</v>
      </c>
      <c r="D99" s="7" t="s">
        <v>30</v>
      </c>
      <c r="E99" s="7" t="s">
        <v>259</v>
      </c>
      <c r="F99" s="7">
        <v>1</v>
      </c>
      <c r="G99" s="7">
        <v>1</v>
      </c>
      <c r="H99" s="7" t="s">
        <v>189</v>
      </c>
      <c r="I99" s="7">
        <v>1</v>
      </c>
      <c r="J99" s="7">
        <v>1</v>
      </c>
      <c r="K99" s="7">
        <f t="shared" si="72"/>
        <v>2</v>
      </c>
      <c r="L99" s="7">
        <f t="shared" si="69"/>
        <v>2</v>
      </c>
      <c r="M99" s="7">
        <f t="shared" si="69"/>
        <v>1</v>
      </c>
      <c r="N99" s="7">
        <f t="shared" si="69"/>
        <v>2</v>
      </c>
      <c r="O99" s="7">
        <f t="shared" si="69"/>
        <v>1</v>
      </c>
      <c r="P99" s="7">
        <v>7</v>
      </c>
      <c r="Q99" s="7" t="str">
        <f t="shared" si="74"/>
        <v>CPAMS-CAP0700-L</v>
      </c>
      <c r="AY99" s="7">
        <f t="shared" si="5"/>
        <v>0</v>
      </c>
      <c r="BA99" s="7">
        <v>1</v>
      </c>
      <c r="BE99" s="7">
        <v>1</v>
      </c>
    </row>
    <row r="100" spans="1:57" s="7" customFormat="1">
      <c r="A100" s="17">
        <v>0</v>
      </c>
      <c r="B100" s="7" t="s">
        <v>345</v>
      </c>
      <c r="C100" s="7" t="s">
        <v>201</v>
      </c>
      <c r="D100" s="7" t="s">
        <v>30</v>
      </c>
      <c r="E100" s="7" t="s">
        <v>330</v>
      </c>
      <c r="F100" s="7">
        <v>1</v>
      </c>
      <c r="G100" s="7">
        <v>1</v>
      </c>
      <c r="H100" s="7" t="s">
        <v>189</v>
      </c>
      <c r="I100" s="7">
        <v>1</v>
      </c>
      <c r="J100" s="7">
        <v>1</v>
      </c>
      <c r="K100" s="7">
        <f t="shared" si="72"/>
        <v>2</v>
      </c>
      <c r="L100" s="7">
        <f t="shared" si="69"/>
        <v>2</v>
      </c>
      <c r="M100" s="7">
        <f t="shared" si="69"/>
        <v>1</v>
      </c>
      <c r="N100" s="7">
        <f t="shared" si="69"/>
        <v>2</v>
      </c>
      <c r="O100" s="7">
        <f t="shared" si="69"/>
        <v>1</v>
      </c>
      <c r="P100" s="7">
        <v>7</v>
      </c>
      <c r="Q100" s="7" t="str">
        <f t="shared" si="74"/>
        <v>CPAMS-CAP0700-IRP</v>
      </c>
      <c r="AY100" s="7">
        <f t="shared" ref="AY100" si="79">IF(LEN(B100)&gt;30,1,0)</f>
        <v>0</v>
      </c>
      <c r="BA100" s="7">
        <v>1</v>
      </c>
      <c r="BE100" s="7">
        <v>1</v>
      </c>
    </row>
    <row r="101" spans="1:57" s="7" customFormat="1">
      <c r="A101" s="17">
        <v>0</v>
      </c>
      <c r="B101" s="7" t="s">
        <v>371</v>
      </c>
      <c r="C101" s="7" t="s">
        <v>201</v>
      </c>
      <c r="D101" s="7" t="s">
        <v>30</v>
      </c>
      <c r="E101" s="7" t="s">
        <v>361</v>
      </c>
      <c r="F101" s="7">
        <v>1</v>
      </c>
      <c r="G101" s="7">
        <v>1</v>
      </c>
      <c r="H101" s="7" t="s">
        <v>189</v>
      </c>
      <c r="I101" s="7">
        <v>1</v>
      </c>
      <c r="J101" s="7">
        <v>1</v>
      </c>
      <c r="K101" s="7">
        <f t="shared" si="72"/>
        <v>2</v>
      </c>
      <c r="L101" s="7">
        <f t="shared" si="69"/>
        <v>2</v>
      </c>
      <c r="M101" s="7">
        <f t="shared" si="69"/>
        <v>1</v>
      </c>
      <c r="N101" s="7">
        <f t="shared" si="69"/>
        <v>2</v>
      </c>
      <c r="O101" s="7">
        <f t="shared" si="69"/>
        <v>1</v>
      </c>
      <c r="P101" s="7">
        <v>7</v>
      </c>
      <c r="Q101" s="7" t="str">
        <f t="shared" ref="Q101" si="80">B101</f>
        <v>CPAMS-CAP0700-IRPN</v>
      </c>
      <c r="AY101" s="7">
        <f t="shared" ref="AY101" si="81">IF(LEN(B101)&gt;30,1,0)</f>
        <v>0</v>
      </c>
      <c r="BA101" s="7">
        <v>1</v>
      </c>
      <c r="BE101" s="7">
        <v>1</v>
      </c>
    </row>
    <row r="102" spans="1:57" s="7" customFormat="1">
      <c r="A102" s="17">
        <v>0</v>
      </c>
      <c r="B102" s="7" t="s">
        <v>305</v>
      </c>
      <c r="C102" s="7" t="s">
        <v>201</v>
      </c>
      <c r="D102" s="7" t="s">
        <v>30</v>
      </c>
      <c r="E102" s="7" t="s">
        <v>259</v>
      </c>
      <c r="F102" s="7">
        <v>1</v>
      </c>
      <c r="G102" s="7">
        <v>1</v>
      </c>
      <c r="H102" s="7" t="s">
        <v>189</v>
      </c>
      <c r="I102" s="7">
        <v>1</v>
      </c>
      <c r="J102" s="7">
        <v>1</v>
      </c>
      <c r="K102" s="7">
        <f t="shared" si="72"/>
        <v>2</v>
      </c>
      <c r="L102" s="7">
        <f t="shared" si="69"/>
        <v>2</v>
      </c>
      <c r="M102" s="7">
        <f t="shared" si="69"/>
        <v>1</v>
      </c>
      <c r="N102" s="7">
        <f t="shared" si="69"/>
        <v>2</v>
      </c>
      <c r="O102" s="7">
        <f t="shared" si="69"/>
        <v>1</v>
      </c>
      <c r="P102" s="7">
        <v>6.75</v>
      </c>
      <c r="Q102" s="7" t="str">
        <f t="shared" ref="Q102:Q109" si="82">B102</f>
        <v>CPAMS-CAP0675-L</v>
      </c>
      <c r="AY102" s="7">
        <f t="shared" si="5"/>
        <v>0</v>
      </c>
      <c r="BA102" s="7">
        <v>1</v>
      </c>
      <c r="BE102" s="7">
        <v>1</v>
      </c>
    </row>
    <row r="103" spans="1:57" s="7" customFormat="1">
      <c r="A103" s="17">
        <v>0</v>
      </c>
      <c r="B103" s="7" t="s">
        <v>304</v>
      </c>
      <c r="C103" s="7" t="s">
        <v>201</v>
      </c>
      <c r="D103" s="7" t="s">
        <v>30</v>
      </c>
      <c r="E103" s="7" t="s">
        <v>259</v>
      </c>
      <c r="F103" s="7">
        <v>1</v>
      </c>
      <c r="G103" s="7">
        <v>1</v>
      </c>
      <c r="H103" s="7" t="s">
        <v>189</v>
      </c>
      <c r="I103" s="7">
        <v>1</v>
      </c>
      <c r="J103" s="7">
        <v>1</v>
      </c>
      <c r="K103" s="7">
        <f t="shared" si="72"/>
        <v>2</v>
      </c>
      <c r="L103" s="7">
        <f t="shared" si="69"/>
        <v>2</v>
      </c>
      <c r="M103" s="7">
        <f t="shared" si="69"/>
        <v>1</v>
      </c>
      <c r="N103" s="7">
        <f t="shared" si="69"/>
        <v>2</v>
      </c>
      <c r="O103" s="7">
        <f t="shared" si="69"/>
        <v>1</v>
      </c>
      <c r="P103" s="7">
        <v>6.5</v>
      </c>
      <c r="Q103" s="7" t="str">
        <f t="shared" si="82"/>
        <v>CPAMS-CAP0650-L</v>
      </c>
      <c r="AY103" s="7">
        <f t="shared" si="5"/>
        <v>0</v>
      </c>
      <c r="BA103" s="7">
        <v>1</v>
      </c>
      <c r="BE103" s="7">
        <v>1</v>
      </c>
    </row>
    <row r="104" spans="1:57" s="7" customFormat="1">
      <c r="A104" s="17">
        <v>0</v>
      </c>
      <c r="B104" s="7" t="s">
        <v>343</v>
      </c>
      <c r="C104" s="7" t="s">
        <v>201</v>
      </c>
      <c r="D104" s="7" t="s">
        <v>30</v>
      </c>
      <c r="E104" s="7" t="s">
        <v>330</v>
      </c>
      <c r="F104" s="7">
        <v>1</v>
      </c>
      <c r="G104" s="7">
        <v>1</v>
      </c>
      <c r="H104" s="7" t="s">
        <v>189</v>
      </c>
      <c r="I104" s="7">
        <v>1</v>
      </c>
      <c r="J104" s="7">
        <v>1</v>
      </c>
      <c r="K104" s="7">
        <f t="shared" si="72"/>
        <v>2</v>
      </c>
      <c r="L104" s="7">
        <f t="shared" si="69"/>
        <v>2</v>
      </c>
      <c r="M104" s="7">
        <f t="shared" si="69"/>
        <v>1</v>
      </c>
      <c r="N104" s="7">
        <f t="shared" si="69"/>
        <v>2</v>
      </c>
      <c r="O104" s="7">
        <f t="shared" si="69"/>
        <v>1</v>
      </c>
      <c r="P104" s="7">
        <v>6.5</v>
      </c>
      <c r="Q104" s="7" t="str">
        <f t="shared" ref="Q104" si="83">B104</f>
        <v>CPAMS-CAP0650-IRP</v>
      </c>
      <c r="AY104" s="7">
        <f t="shared" ref="AY104" si="84">IF(LEN(B104)&gt;30,1,0)</f>
        <v>0</v>
      </c>
      <c r="BA104" s="7">
        <v>1</v>
      </c>
      <c r="BE104" s="7">
        <v>1</v>
      </c>
    </row>
    <row r="105" spans="1:57" s="7" customFormat="1">
      <c r="A105" s="17">
        <v>0</v>
      </c>
      <c r="B105" s="7" t="s">
        <v>372</v>
      </c>
      <c r="C105" s="7" t="s">
        <v>201</v>
      </c>
      <c r="D105" s="7" t="s">
        <v>30</v>
      </c>
      <c r="E105" s="7" t="s">
        <v>361</v>
      </c>
      <c r="F105" s="7">
        <v>1</v>
      </c>
      <c r="G105" s="7">
        <v>1</v>
      </c>
      <c r="H105" s="7" t="s">
        <v>189</v>
      </c>
      <c r="I105" s="7">
        <v>1</v>
      </c>
      <c r="J105" s="7">
        <v>1</v>
      </c>
      <c r="K105" s="7">
        <f t="shared" si="72"/>
        <v>2</v>
      </c>
      <c r="L105" s="7">
        <f t="shared" si="69"/>
        <v>2</v>
      </c>
      <c r="M105" s="7">
        <f t="shared" si="69"/>
        <v>1</v>
      </c>
      <c r="N105" s="7">
        <f t="shared" si="69"/>
        <v>2</v>
      </c>
      <c r="O105" s="7">
        <f t="shared" si="69"/>
        <v>1</v>
      </c>
      <c r="P105" s="7">
        <v>6.5</v>
      </c>
      <c r="Q105" s="7" t="str">
        <f t="shared" ref="Q105" si="85">B105</f>
        <v>CPAMS-CAP0650-IRPN</v>
      </c>
      <c r="AY105" s="7">
        <f t="shared" ref="AY105" si="86">IF(LEN(B105)&gt;30,1,0)</f>
        <v>0</v>
      </c>
      <c r="BA105" s="7">
        <v>1</v>
      </c>
      <c r="BE105" s="7">
        <v>1</v>
      </c>
    </row>
    <row r="106" spans="1:57" s="7" customFormat="1">
      <c r="A106" s="17">
        <v>0</v>
      </c>
      <c r="B106" s="7" t="s">
        <v>303</v>
      </c>
      <c r="C106" s="7" t="s">
        <v>201</v>
      </c>
      <c r="D106" s="7" t="s">
        <v>30</v>
      </c>
      <c r="E106" s="7" t="s">
        <v>259</v>
      </c>
      <c r="F106" s="7">
        <v>1</v>
      </c>
      <c r="G106" s="7">
        <v>1</v>
      </c>
      <c r="H106" s="7" t="s">
        <v>189</v>
      </c>
      <c r="I106" s="7">
        <v>1</v>
      </c>
      <c r="J106" s="7">
        <v>1</v>
      </c>
      <c r="K106" s="7">
        <f t="shared" si="72"/>
        <v>2</v>
      </c>
      <c r="L106" s="7">
        <f t="shared" si="69"/>
        <v>2</v>
      </c>
      <c r="M106" s="7">
        <f t="shared" si="69"/>
        <v>1</v>
      </c>
      <c r="N106" s="7">
        <f t="shared" si="69"/>
        <v>2</v>
      </c>
      <c r="O106" s="7">
        <f t="shared" si="69"/>
        <v>1</v>
      </c>
      <c r="P106" s="7">
        <v>6.25</v>
      </c>
      <c r="Q106" s="7" t="str">
        <f t="shared" si="82"/>
        <v>CPAMS-CAP0625-L</v>
      </c>
      <c r="AY106" s="7">
        <f t="shared" si="5"/>
        <v>0</v>
      </c>
      <c r="BA106" s="7">
        <v>1</v>
      </c>
      <c r="BE106" s="7">
        <v>1</v>
      </c>
    </row>
    <row r="107" spans="1:57" s="7" customFormat="1">
      <c r="A107" s="17">
        <v>0</v>
      </c>
      <c r="B107" s="7" t="s">
        <v>302</v>
      </c>
      <c r="C107" s="7" t="s">
        <v>201</v>
      </c>
      <c r="D107" s="7" t="s">
        <v>30</v>
      </c>
      <c r="E107" s="7" t="s">
        <v>259</v>
      </c>
      <c r="F107" s="7">
        <v>1</v>
      </c>
      <c r="G107" s="7">
        <v>1</v>
      </c>
      <c r="H107" s="7" t="s">
        <v>189</v>
      </c>
      <c r="I107" s="7">
        <v>1</v>
      </c>
      <c r="J107" s="7">
        <v>1</v>
      </c>
      <c r="K107" s="7">
        <f t="shared" si="72"/>
        <v>2</v>
      </c>
      <c r="L107" s="7">
        <f t="shared" si="69"/>
        <v>2</v>
      </c>
      <c r="M107" s="7">
        <f t="shared" si="69"/>
        <v>1</v>
      </c>
      <c r="N107" s="7">
        <f t="shared" si="69"/>
        <v>2</v>
      </c>
      <c r="O107" s="7">
        <f t="shared" si="69"/>
        <v>1</v>
      </c>
      <c r="P107" s="7">
        <v>6</v>
      </c>
      <c r="Q107" s="7" t="str">
        <f t="shared" si="82"/>
        <v>CPAMS-CAP0600-L</v>
      </c>
      <c r="AY107" s="7">
        <f t="shared" si="5"/>
        <v>0</v>
      </c>
      <c r="BA107" s="7">
        <v>1</v>
      </c>
      <c r="BE107" s="7">
        <v>1</v>
      </c>
    </row>
    <row r="108" spans="1:57" s="7" customFormat="1">
      <c r="A108" s="17">
        <v>0</v>
      </c>
      <c r="B108" s="7" t="s">
        <v>344</v>
      </c>
      <c r="C108" s="7" t="s">
        <v>201</v>
      </c>
      <c r="D108" s="7" t="s">
        <v>30</v>
      </c>
      <c r="E108" s="7" t="s">
        <v>330</v>
      </c>
      <c r="F108" s="7">
        <v>1</v>
      </c>
      <c r="G108" s="7">
        <v>1</v>
      </c>
      <c r="H108" s="7" t="s">
        <v>189</v>
      </c>
      <c r="I108" s="7">
        <v>1</v>
      </c>
      <c r="J108" s="7">
        <v>1</v>
      </c>
      <c r="K108" s="7">
        <f t="shared" si="72"/>
        <v>2</v>
      </c>
      <c r="L108" s="7">
        <f t="shared" si="69"/>
        <v>2</v>
      </c>
      <c r="M108" s="7">
        <f t="shared" si="69"/>
        <v>1</v>
      </c>
      <c r="N108" s="7">
        <f t="shared" si="69"/>
        <v>2</v>
      </c>
      <c r="O108" s="7">
        <f t="shared" si="69"/>
        <v>1</v>
      </c>
      <c r="P108" s="7">
        <v>6</v>
      </c>
      <c r="Q108" s="7" t="str">
        <f t="shared" si="82"/>
        <v>CPAMS-CAP0600-IRP</v>
      </c>
      <c r="AY108" s="7">
        <f t="shared" si="5"/>
        <v>0</v>
      </c>
      <c r="BA108" s="7">
        <v>1</v>
      </c>
      <c r="BE108" s="7">
        <v>1</v>
      </c>
    </row>
    <row r="109" spans="1:57" s="7" customFormat="1">
      <c r="A109" s="17">
        <v>0</v>
      </c>
      <c r="B109" s="7" t="s">
        <v>301</v>
      </c>
      <c r="C109" s="7" t="s">
        <v>201</v>
      </c>
      <c r="D109" s="7" t="s">
        <v>30</v>
      </c>
      <c r="E109" s="7" t="s">
        <v>259</v>
      </c>
      <c r="F109" s="7">
        <v>1</v>
      </c>
      <c r="G109" s="7">
        <v>1</v>
      </c>
      <c r="H109" s="7" t="s">
        <v>189</v>
      </c>
      <c r="I109" s="7">
        <v>1</v>
      </c>
      <c r="J109" s="7">
        <v>1</v>
      </c>
      <c r="K109" s="7">
        <f t="shared" si="72"/>
        <v>2</v>
      </c>
      <c r="L109" s="7">
        <f t="shared" si="69"/>
        <v>2</v>
      </c>
      <c r="M109" s="7">
        <f t="shared" si="69"/>
        <v>1</v>
      </c>
      <c r="N109" s="7">
        <f t="shared" si="69"/>
        <v>2</v>
      </c>
      <c r="O109" s="7">
        <f t="shared" si="69"/>
        <v>1</v>
      </c>
      <c r="P109" s="7">
        <v>5.75</v>
      </c>
      <c r="Q109" s="7" t="str">
        <f t="shared" si="82"/>
        <v>CPAMS-CAP0575-L</v>
      </c>
      <c r="AY109" s="7">
        <f t="shared" si="5"/>
        <v>0</v>
      </c>
      <c r="BA109" s="7">
        <v>1</v>
      </c>
      <c r="BE109" s="7">
        <v>1</v>
      </c>
    </row>
    <row r="110" spans="1:57" s="7" customFormat="1">
      <c r="A110" s="17">
        <v>0</v>
      </c>
      <c r="B110" s="7" t="s">
        <v>261</v>
      </c>
      <c r="C110" s="7" t="s">
        <v>201</v>
      </c>
      <c r="D110" s="7" t="s">
        <v>30</v>
      </c>
      <c r="E110" s="7" t="s">
        <v>260</v>
      </c>
      <c r="F110" s="7">
        <v>0</v>
      </c>
      <c r="G110" s="7">
        <v>0</v>
      </c>
      <c r="H110" s="7" t="s">
        <v>188</v>
      </c>
      <c r="I110" s="7">
        <v>1</v>
      </c>
      <c r="J110" s="7">
        <v>1</v>
      </c>
      <c r="K110" s="7">
        <f t="shared" si="72"/>
        <v>-1</v>
      </c>
      <c r="L110" s="7">
        <f t="shared" si="69"/>
        <v>-1</v>
      </c>
      <c r="M110" s="7">
        <f t="shared" si="69"/>
        <v>-1</v>
      </c>
      <c r="N110" s="7">
        <f t="shared" si="69"/>
        <v>1</v>
      </c>
      <c r="O110" s="7">
        <f t="shared" si="69"/>
        <v>-1</v>
      </c>
      <c r="Q110" s="7" t="str">
        <f t="shared" ref="Q110:Q136" si="87">B110</f>
        <v>NoPAMS-RR</v>
      </c>
      <c r="AY110" s="7">
        <f t="shared" si="5"/>
        <v>0</v>
      </c>
      <c r="AZ110" s="7">
        <v>1</v>
      </c>
    </row>
    <row r="111" spans="1:57" s="7" customFormat="1">
      <c r="A111" s="17">
        <v>0</v>
      </c>
      <c r="B111" s="7" t="s">
        <v>275</v>
      </c>
      <c r="C111" s="7" t="s">
        <v>201</v>
      </c>
      <c r="D111" s="7" t="s">
        <v>30</v>
      </c>
      <c r="E111" s="7" t="s">
        <v>273</v>
      </c>
      <c r="F111" s="7">
        <v>0</v>
      </c>
      <c r="G111" s="7">
        <v>1</v>
      </c>
      <c r="H111" s="7" t="s">
        <v>188</v>
      </c>
      <c r="I111" s="7">
        <v>1</v>
      </c>
      <c r="J111" s="7">
        <v>1</v>
      </c>
      <c r="K111" s="7">
        <f t="shared" si="72"/>
        <v>-1</v>
      </c>
      <c r="L111" s="7">
        <f t="shared" si="69"/>
        <v>-1</v>
      </c>
      <c r="M111" s="7">
        <f t="shared" si="69"/>
        <v>-1</v>
      </c>
      <c r="N111" s="7">
        <f t="shared" si="69"/>
        <v>1</v>
      </c>
      <c r="O111" s="18">
        <v>1</v>
      </c>
      <c r="Q111" s="7" t="str">
        <f t="shared" si="87"/>
        <v>NZ-REF-L</v>
      </c>
      <c r="AY111" s="7">
        <f t="shared" si="5"/>
        <v>0</v>
      </c>
      <c r="BD111" s="7">
        <v>1</v>
      </c>
    </row>
    <row r="112" spans="1:57" s="7" customFormat="1">
      <c r="A112" s="17">
        <v>0</v>
      </c>
      <c r="B112" s="7" t="s">
        <v>276</v>
      </c>
      <c r="C112" s="7" t="s">
        <v>201</v>
      </c>
      <c r="D112" s="7" t="s">
        <v>30</v>
      </c>
      <c r="E112" s="7" t="s">
        <v>277</v>
      </c>
      <c r="F112" s="7">
        <v>0</v>
      </c>
      <c r="G112" s="7">
        <v>0</v>
      </c>
      <c r="H112" s="7" t="s">
        <v>188</v>
      </c>
      <c r="I112" s="7">
        <v>1</v>
      </c>
      <c r="J112" s="7">
        <v>1</v>
      </c>
      <c r="K112" s="7">
        <f t="shared" si="72"/>
        <v>-1</v>
      </c>
      <c r="L112" s="7">
        <f t="shared" si="69"/>
        <v>-1</v>
      </c>
      <c r="M112" s="7">
        <f t="shared" si="69"/>
        <v>-1</v>
      </c>
      <c r="N112" s="7">
        <f t="shared" si="69"/>
        <v>1</v>
      </c>
      <c r="O112" s="7">
        <f t="shared" si="69"/>
        <v>-1</v>
      </c>
      <c r="Q112" s="7" t="str">
        <f t="shared" si="87"/>
        <v>NZ-REF-L-OC</v>
      </c>
      <c r="AY112" s="7">
        <f t="shared" ref="AY112:AY160" si="88">IF(LEN(B112)&gt;30,1,0)</f>
        <v>0</v>
      </c>
      <c r="BD112" s="7">
        <v>1</v>
      </c>
    </row>
    <row r="113" spans="1:57" s="7" customFormat="1">
      <c r="A113" s="17">
        <v>0</v>
      </c>
      <c r="B113" s="7" t="s">
        <v>278</v>
      </c>
      <c r="C113" s="7" t="s">
        <v>201</v>
      </c>
      <c r="D113" s="7" t="s">
        <v>30</v>
      </c>
      <c r="E113" s="7" t="s">
        <v>280</v>
      </c>
      <c r="F113" s="7">
        <v>1</v>
      </c>
      <c r="G113" s="7">
        <v>1</v>
      </c>
      <c r="H113" s="7" t="s">
        <v>188</v>
      </c>
      <c r="I113" s="7">
        <v>1</v>
      </c>
      <c r="J113" s="7">
        <v>1</v>
      </c>
      <c r="K113" s="7">
        <f t="shared" si="72"/>
        <v>-1</v>
      </c>
      <c r="L113" s="7">
        <f t="shared" si="69"/>
        <v>-1</v>
      </c>
      <c r="M113" s="7">
        <f t="shared" si="69"/>
        <v>-1</v>
      </c>
      <c r="N113" s="7">
        <f t="shared" si="69"/>
        <v>1</v>
      </c>
      <c r="O113" s="7">
        <f t="shared" si="69"/>
        <v>-1</v>
      </c>
      <c r="Q113" s="7" t="str">
        <f t="shared" si="87"/>
        <v>NZ-REF-L-FC</v>
      </c>
      <c r="AY113" s="7">
        <f t="shared" si="88"/>
        <v>0</v>
      </c>
      <c r="BD113" s="7">
        <v>1</v>
      </c>
    </row>
    <row r="114" spans="1:57" s="7" customFormat="1">
      <c r="A114" s="17">
        <v>0</v>
      </c>
      <c r="B114" s="7" t="s">
        <v>279</v>
      </c>
      <c r="C114" s="7" t="s">
        <v>201</v>
      </c>
      <c r="D114" s="7" t="s">
        <v>30</v>
      </c>
      <c r="E114" s="7" t="s">
        <v>281</v>
      </c>
      <c r="F114" s="7">
        <v>1</v>
      </c>
      <c r="G114" s="7">
        <v>1</v>
      </c>
      <c r="H114" s="7" t="s">
        <v>188</v>
      </c>
      <c r="I114" s="7">
        <v>1</v>
      </c>
      <c r="J114" s="7">
        <v>1</v>
      </c>
      <c r="K114" s="7">
        <f t="shared" si="72"/>
        <v>-1</v>
      </c>
      <c r="L114" s="7">
        <f t="shared" si="69"/>
        <v>-1</v>
      </c>
      <c r="M114" s="7">
        <f t="shared" si="69"/>
        <v>-1</v>
      </c>
      <c r="N114" s="7">
        <f t="shared" si="69"/>
        <v>1</v>
      </c>
      <c r="O114" s="7">
        <f t="shared" si="69"/>
        <v>-1</v>
      </c>
      <c r="Q114" s="7" t="str">
        <f t="shared" si="87"/>
        <v>NZ-REF-L-FCOC</v>
      </c>
      <c r="AY114" s="7">
        <f t="shared" si="88"/>
        <v>0</v>
      </c>
      <c r="BD114" s="7">
        <v>1</v>
      </c>
    </row>
    <row r="115" spans="1:57" s="7" customFormat="1">
      <c r="A115" s="17">
        <v>0</v>
      </c>
      <c r="B115" s="7" t="s">
        <v>273</v>
      </c>
      <c r="C115" s="7" t="s">
        <v>201</v>
      </c>
      <c r="D115" s="7" t="s">
        <v>30</v>
      </c>
      <c r="E115" s="7" t="s">
        <v>273</v>
      </c>
      <c r="F115" s="7">
        <v>0</v>
      </c>
      <c r="G115" s="7">
        <v>0</v>
      </c>
      <c r="H115" s="7" t="s">
        <v>188</v>
      </c>
      <c r="I115" s="7">
        <v>1</v>
      </c>
      <c r="J115" s="7">
        <v>1</v>
      </c>
      <c r="K115" s="7">
        <f t="shared" si="72"/>
        <v>-1</v>
      </c>
      <c r="L115" s="7">
        <f t="shared" si="69"/>
        <v>-1</v>
      </c>
      <c r="M115" s="7">
        <f t="shared" si="69"/>
        <v>-1</v>
      </c>
      <c r="N115" s="7">
        <f t="shared" si="69"/>
        <v>1</v>
      </c>
      <c r="O115" s="18">
        <v>1</v>
      </c>
      <c r="Q115" s="7" t="str">
        <f t="shared" si="87"/>
        <v>NZ-REF</v>
      </c>
      <c r="AY115" s="7">
        <f t="shared" si="88"/>
        <v>0</v>
      </c>
      <c r="BD115" s="7">
        <v>1</v>
      </c>
    </row>
    <row r="116" spans="1:57" s="7" customFormat="1">
      <c r="A116" s="17">
        <v>0</v>
      </c>
      <c r="B116" s="7" t="str">
        <f>E116</f>
        <v>CO2ACAP350</v>
      </c>
      <c r="C116" s="7" t="s">
        <v>201</v>
      </c>
      <c r="D116" s="7" t="s">
        <v>30</v>
      </c>
      <c r="E116" s="7" t="s">
        <v>300</v>
      </c>
      <c r="F116" s="7">
        <v>0</v>
      </c>
      <c r="G116" s="7">
        <v>0</v>
      </c>
      <c r="H116" s="7" t="s">
        <v>188</v>
      </c>
      <c r="I116" s="7">
        <v>1</v>
      </c>
      <c r="J116" s="7">
        <v>1</v>
      </c>
      <c r="K116" s="7">
        <f t="shared" si="72"/>
        <v>-1</v>
      </c>
      <c r="L116" s="7">
        <f t="shared" si="69"/>
        <v>-1</v>
      </c>
      <c r="M116" s="7">
        <f t="shared" si="69"/>
        <v>-1</v>
      </c>
      <c r="N116" s="7">
        <f t="shared" si="69"/>
        <v>1</v>
      </c>
      <c r="O116" s="18">
        <v>1</v>
      </c>
      <c r="Q116" s="7" t="str">
        <f t="shared" si="87"/>
        <v>CO2ACAP350</v>
      </c>
      <c r="AY116" s="7">
        <f t="shared" si="88"/>
        <v>0</v>
      </c>
      <c r="BE116" s="7">
        <v>1</v>
      </c>
    </row>
    <row r="117" spans="1:57" s="7" customFormat="1">
      <c r="A117" s="17">
        <v>0</v>
      </c>
      <c r="B117" s="7" t="str">
        <f>E117</f>
        <v>CO2ACAP280</v>
      </c>
      <c r="C117" s="7" t="s">
        <v>201</v>
      </c>
      <c r="D117" s="7" t="s">
        <v>30</v>
      </c>
      <c r="E117" s="7" t="s">
        <v>299</v>
      </c>
      <c r="F117" s="7">
        <v>0</v>
      </c>
      <c r="G117" s="7">
        <v>0</v>
      </c>
      <c r="H117" s="7" t="s">
        <v>188</v>
      </c>
      <c r="I117" s="7">
        <v>1</v>
      </c>
      <c r="J117" s="7">
        <v>1</v>
      </c>
      <c r="K117" s="7">
        <f t="shared" si="72"/>
        <v>-1</v>
      </c>
      <c r="L117" s="7">
        <f t="shared" si="69"/>
        <v>-1</v>
      </c>
      <c r="M117" s="7">
        <f t="shared" si="69"/>
        <v>-1</v>
      </c>
      <c r="N117" s="7">
        <f t="shared" si="69"/>
        <v>1</v>
      </c>
      <c r="O117" s="18">
        <v>1</v>
      </c>
      <c r="Q117" s="7" t="str">
        <f t="shared" ref="Q117:Q118" si="89">B117</f>
        <v>CO2ACAP280</v>
      </c>
      <c r="AY117" s="7">
        <f t="shared" si="88"/>
        <v>0</v>
      </c>
      <c r="BE117" s="7">
        <v>1</v>
      </c>
    </row>
    <row r="118" spans="1:57" s="7" customFormat="1">
      <c r="A118" s="17">
        <v>1</v>
      </c>
      <c r="B118" s="7" t="s">
        <v>381</v>
      </c>
      <c r="C118" s="7" t="s">
        <v>201</v>
      </c>
      <c r="D118" s="7" t="s">
        <v>30</v>
      </c>
      <c r="E118" s="7" t="s">
        <v>237</v>
      </c>
      <c r="F118" s="7">
        <v>0</v>
      </c>
      <c r="G118" s="7">
        <v>0</v>
      </c>
      <c r="H118" s="7" t="s">
        <v>188</v>
      </c>
      <c r="I118" s="7">
        <v>1</v>
      </c>
      <c r="J118" s="7">
        <v>1</v>
      </c>
      <c r="K118" s="7">
        <f t="shared" si="72"/>
        <v>-1</v>
      </c>
      <c r="L118" s="7">
        <f t="shared" si="69"/>
        <v>-1</v>
      </c>
      <c r="M118" s="7">
        <f t="shared" si="69"/>
        <v>-1</v>
      </c>
      <c r="N118" s="7">
        <f t="shared" si="69"/>
        <v>1</v>
      </c>
      <c r="O118" s="7">
        <f t="shared" si="69"/>
        <v>-1</v>
      </c>
      <c r="P118" s="7">
        <v>99</v>
      </c>
      <c r="Q118" s="7" t="str">
        <f t="shared" si="89"/>
        <v>Reference</v>
      </c>
      <c r="AY118" s="7">
        <f t="shared" ref="AY118" si="90">IF(LEN(B118)&gt;30,1,0)</f>
        <v>0</v>
      </c>
      <c r="BC118" s="7">
        <v>1</v>
      </c>
    </row>
    <row r="119" spans="1:57" s="7" customFormat="1">
      <c r="A119" s="17">
        <v>1</v>
      </c>
      <c r="B119" s="7" t="s">
        <v>382</v>
      </c>
      <c r="C119" s="7" t="s">
        <v>201</v>
      </c>
      <c r="D119" s="7" t="s">
        <v>30</v>
      </c>
      <c r="E119" s="7" t="s">
        <v>383</v>
      </c>
      <c r="F119" s="7">
        <v>0</v>
      </c>
      <c r="G119" s="7">
        <v>0</v>
      </c>
      <c r="H119" s="7" t="s">
        <v>188</v>
      </c>
      <c r="I119" s="7">
        <v>1</v>
      </c>
      <c r="J119" s="7">
        <v>1</v>
      </c>
      <c r="K119" s="7">
        <f t="shared" si="72"/>
        <v>-1</v>
      </c>
      <c r="L119" s="7">
        <f t="shared" si="69"/>
        <v>-1</v>
      </c>
      <c r="M119" s="7">
        <f t="shared" si="69"/>
        <v>-1</v>
      </c>
      <c r="N119" s="7">
        <f t="shared" si="69"/>
        <v>1</v>
      </c>
      <c r="O119" s="7">
        <f t="shared" si="69"/>
        <v>-1</v>
      </c>
      <c r="P119" s="7">
        <v>99</v>
      </c>
      <c r="Q119" s="7" t="str">
        <f t="shared" ref="Q119:Q124" si="91">B119</f>
        <v>ForcedCoal</v>
      </c>
      <c r="AY119" s="7">
        <f t="shared" si="88"/>
        <v>0</v>
      </c>
      <c r="BC119" s="7">
        <v>1</v>
      </c>
    </row>
    <row r="120" spans="1:57" s="7" customFormat="1">
      <c r="A120" s="17">
        <v>1</v>
      </c>
      <c r="B120" s="7" t="s">
        <v>415</v>
      </c>
      <c r="C120" s="7" t="s">
        <v>201</v>
      </c>
      <c r="D120" s="7" t="s">
        <v>30</v>
      </c>
      <c r="E120" s="7" t="s">
        <v>419</v>
      </c>
      <c r="F120" s="7">
        <v>0</v>
      </c>
      <c r="G120" s="7">
        <v>0</v>
      </c>
      <c r="H120" s="7" t="s">
        <v>188</v>
      </c>
      <c r="I120" s="7">
        <v>1</v>
      </c>
      <c r="J120" s="7">
        <v>1</v>
      </c>
      <c r="K120" s="7">
        <f t="shared" si="72"/>
        <v>-1</v>
      </c>
      <c r="L120" s="7">
        <f t="shared" si="72"/>
        <v>-1</v>
      </c>
      <c r="M120" s="7">
        <f t="shared" si="72"/>
        <v>-1</v>
      </c>
      <c r="N120" s="7">
        <f t="shared" si="72"/>
        <v>1</v>
      </c>
      <c r="O120" s="7">
        <f t="shared" si="72"/>
        <v>-1</v>
      </c>
      <c r="P120" s="7">
        <v>99</v>
      </c>
      <c r="Q120" s="7" t="str">
        <f t="shared" si="91"/>
        <v>Reference-HiExt</v>
      </c>
      <c r="AY120" s="7">
        <f t="shared" si="88"/>
        <v>0</v>
      </c>
      <c r="BC120" s="7">
        <v>1</v>
      </c>
    </row>
    <row r="121" spans="1:57" s="7" customFormat="1">
      <c r="A121" s="17">
        <v>1</v>
      </c>
      <c r="B121" s="7" t="s">
        <v>416</v>
      </c>
      <c r="C121" s="7" t="s">
        <v>201</v>
      </c>
      <c r="D121" s="7" t="s">
        <v>30</v>
      </c>
      <c r="E121" s="7" t="s">
        <v>420</v>
      </c>
      <c r="F121" s="7">
        <v>0</v>
      </c>
      <c r="G121" s="7">
        <v>0</v>
      </c>
      <c r="H121" s="7" t="s">
        <v>188</v>
      </c>
      <c r="I121" s="7">
        <v>1</v>
      </c>
      <c r="J121" s="7">
        <v>1</v>
      </c>
      <c r="K121" s="7">
        <f t="shared" si="72"/>
        <v>-1</v>
      </c>
      <c r="L121" s="7">
        <f t="shared" si="72"/>
        <v>-1</v>
      </c>
      <c r="M121" s="7">
        <f t="shared" si="72"/>
        <v>-1</v>
      </c>
      <c r="N121" s="7">
        <f t="shared" si="72"/>
        <v>1</v>
      </c>
      <c r="O121" s="7">
        <f t="shared" si="72"/>
        <v>-1</v>
      </c>
      <c r="P121" s="7">
        <v>99</v>
      </c>
      <c r="Q121" s="7" t="str">
        <f t="shared" ref="Q121:Q123" si="92">B121</f>
        <v>ForcedCoal-HiExt</v>
      </c>
      <c r="AY121" s="7">
        <f t="shared" ref="AY121:AY123" si="93">IF(LEN(B121)&gt;30,1,0)</f>
        <v>0</v>
      </c>
      <c r="BC121" s="7">
        <v>1</v>
      </c>
    </row>
    <row r="122" spans="1:57" s="7" customFormat="1">
      <c r="A122" s="17">
        <v>1</v>
      </c>
      <c r="B122" s="7" t="s">
        <v>417</v>
      </c>
      <c r="C122" s="7" t="s">
        <v>201</v>
      </c>
      <c r="D122" s="7" t="s">
        <v>30</v>
      </c>
      <c r="E122" s="7" t="s">
        <v>421</v>
      </c>
      <c r="F122" s="7">
        <v>0</v>
      </c>
      <c r="G122" s="7">
        <v>0</v>
      </c>
      <c r="H122" s="7" t="s">
        <v>188</v>
      </c>
      <c r="I122" s="7">
        <v>1</v>
      </c>
      <c r="J122" s="7">
        <v>1</v>
      </c>
      <c r="K122" s="7">
        <f t="shared" si="72"/>
        <v>-1</v>
      </c>
      <c r="L122" s="7">
        <f t="shared" si="72"/>
        <v>-1</v>
      </c>
      <c r="M122" s="7">
        <f t="shared" si="72"/>
        <v>-1</v>
      </c>
      <c r="N122" s="7">
        <f t="shared" si="72"/>
        <v>1</v>
      </c>
      <c r="O122" s="7">
        <f t="shared" si="72"/>
        <v>-1</v>
      </c>
      <c r="P122" s="7">
        <v>99</v>
      </c>
      <c r="Q122" s="7" t="str">
        <f t="shared" si="92"/>
        <v>Reference-OptRE</v>
      </c>
      <c r="AY122" s="7">
        <f t="shared" si="93"/>
        <v>0</v>
      </c>
      <c r="BC122" s="7">
        <v>1</v>
      </c>
    </row>
    <row r="123" spans="1:57" s="7" customFormat="1">
      <c r="A123" s="17">
        <v>1</v>
      </c>
      <c r="B123" s="7" t="s">
        <v>418</v>
      </c>
      <c r="C123" s="7" t="s">
        <v>201</v>
      </c>
      <c r="D123" s="7" t="s">
        <v>30</v>
      </c>
      <c r="E123" s="7" t="s">
        <v>422</v>
      </c>
      <c r="F123" s="7">
        <v>0</v>
      </c>
      <c r="G123" s="7">
        <v>0</v>
      </c>
      <c r="H123" s="7" t="s">
        <v>188</v>
      </c>
      <c r="I123" s="7">
        <v>1</v>
      </c>
      <c r="J123" s="7">
        <v>1</v>
      </c>
      <c r="K123" s="7">
        <f t="shared" si="72"/>
        <v>-1</v>
      </c>
      <c r="L123" s="7">
        <f t="shared" si="72"/>
        <v>-1</v>
      </c>
      <c r="M123" s="7">
        <f t="shared" si="72"/>
        <v>-1</v>
      </c>
      <c r="N123" s="7">
        <f t="shared" si="72"/>
        <v>1</v>
      </c>
      <c r="O123" s="7">
        <f t="shared" si="72"/>
        <v>-1</v>
      </c>
      <c r="P123" s="7">
        <v>99</v>
      </c>
      <c r="Q123" s="7" t="str">
        <f t="shared" si="92"/>
        <v>ForcedCoal-OptRE</v>
      </c>
      <c r="AY123" s="7">
        <f t="shared" si="93"/>
        <v>0</v>
      </c>
      <c r="BC123" s="7">
        <v>1</v>
      </c>
    </row>
    <row r="124" spans="1:57" s="7" customFormat="1">
      <c r="A124" s="17">
        <v>1</v>
      </c>
      <c r="B124" s="7" t="s">
        <v>384</v>
      </c>
      <c r="C124" s="7" t="s">
        <v>201</v>
      </c>
      <c r="D124" s="7" t="s">
        <v>30</v>
      </c>
      <c r="E124" s="7" t="s">
        <v>237</v>
      </c>
      <c r="F124" s="7">
        <v>1</v>
      </c>
      <c r="G124" s="7">
        <v>1</v>
      </c>
      <c r="H124" s="7" t="s">
        <v>188</v>
      </c>
      <c r="I124" s="7">
        <v>1</v>
      </c>
      <c r="J124" s="7">
        <v>1</v>
      </c>
      <c r="K124" s="7">
        <f t="shared" si="72"/>
        <v>-1</v>
      </c>
      <c r="L124" s="7">
        <f t="shared" si="69"/>
        <v>-1</v>
      </c>
      <c r="M124" s="7">
        <f t="shared" si="69"/>
        <v>-1</v>
      </c>
      <c r="N124" s="7">
        <f t="shared" si="69"/>
        <v>1</v>
      </c>
      <c r="O124" s="7">
        <f t="shared" si="69"/>
        <v>-1</v>
      </c>
      <c r="P124" s="7">
        <v>99</v>
      </c>
      <c r="Q124" s="7" t="str">
        <f t="shared" si="91"/>
        <v>Reference-L</v>
      </c>
      <c r="AY124" s="7">
        <f t="shared" si="88"/>
        <v>0</v>
      </c>
      <c r="BC124" s="7">
        <v>1</v>
      </c>
    </row>
    <row r="125" spans="1:57" s="7" customFormat="1">
      <c r="A125" s="17">
        <v>1</v>
      </c>
      <c r="B125" s="7" t="s">
        <v>385</v>
      </c>
      <c r="C125" s="7" t="s">
        <v>201</v>
      </c>
      <c r="D125" s="7" t="s">
        <v>30</v>
      </c>
      <c r="E125" s="7" t="s">
        <v>383</v>
      </c>
      <c r="F125" s="7">
        <v>1</v>
      </c>
      <c r="G125" s="7">
        <v>1</v>
      </c>
      <c r="H125" s="7" t="s">
        <v>188</v>
      </c>
      <c r="I125" s="7">
        <v>1</v>
      </c>
      <c r="J125" s="7">
        <v>1</v>
      </c>
      <c r="K125" s="7">
        <f t="shared" si="72"/>
        <v>-1</v>
      </c>
      <c r="L125" s="7">
        <f t="shared" si="69"/>
        <v>-1</v>
      </c>
      <c r="M125" s="7">
        <f t="shared" si="69"/>
        <v>-1</v>
      </c>
      <c r="N125" s="7">
        <f t="shared" si="69"/>
        <v>1</v>
      </c>
      <c r="O125" s="7">
        <f t="shared" si="69"/>
        <v>-1</v>
      </c>
      <c r="P125" s="7">
        <v>99</v>
      </c>
      <c r="Q125" s="7" t="str">
        <f t="shared" ref="Q125:Q130" si="94">B125</f>
        <v>ForcedCoal-L</v>
      </c>
      <c r="AY125" s="7">
        <f t="shared" ref="AY125:AY130" si="95">IF(LEN(B125)&gt;30,1,0)</f>
        <v>0</v>
      </c>
      <c r="BC125" s="7">
        <v>1</v>
      </c>
    </row>
    <row r="126" spans="1:57" s="7" customFormat="1">
      <c r="A126" s="17">
        <v>1</v>
      </c>
      <c r="B126" s="7" t="s">
        <v>391</v>
      </c>
      <c r="C126" s="7" t="s">
        <v>201</v>
      </c>
      <c r="D126" s="7" t="s">
        <v>30</v>
      </c>
      <c r="E126" s="7" t="s">
        <v>378</v>
      </c>
      <c r="F126" s="7">
        <v>0</v>
      </c>
      <c r="G126" s="7">
        <v>0</v>
      </c>
      <c r="H126" s="7" t="s">
        <v>188</v>
      </c>
      <c r="I126" s="7">
        <v>1</v>
      </c>
      <c r="J126" s="7">
        <v>1</v>
      </c>
      <c r="K126" s="7">
        <f t="shared" ref="K126:O129" si="96">INDEX(K$1:K$4,MATCH($H126,$J$1:$J$4,0))</f>
        <v>-1</v>
      </c>
      <c r="L126" s="7">
        <f t="shared" si="96"/>
        <v>-1</v>
      </c>
      <c r="M126" s="7">
        <f t="shared" si="96"/>
        <v>-1</v>
      </c>
      <c r="N126" s="7">
        <f t="shared" si="96"/>
        <v>1</v>
      </c>
      <c r="O126" s="7">
        <f t="shared" si="96"/>
        <v>-1</v>
      </c>
      <c r="P126" s="7">
        <v>99</v>
      </c>
      <c r="Q126" s="7" t="str">
        <f>B126</f>
        <v>ReferenceIRP</v>
      </c>
      <c r="AY126" s="7">
        <f>IF(LEN(B126)&gt;30,1,0)</f>
        <v>0</v>
      </c>
      <c r="BC126" s="7">
        <v>1</v>
      </c>
    </row>
    <row r="127" spans="1:57" s="7" customFormat="1">
      <c r="A127" s="17">
        <v>1</v>
      </c>
      <c r="B127" s="7" t="s">
        <v>392</v>
      </c>
      <c r="C127" s="7" t="s">
        <v>201</v>
      </c>
      <c r="D127" s="7" t="s">
        <v>30</v>
      </c>
      <c r="E127" s="7" t="s">
        <v>393</v>
      </c>
      <c r="F127" s="7">
        <v>0</v>
      </c>
      <c r="G127" s="7">
        <v>0</v>
      </c>
      <c r="H127" s="7" t="s">
        <v>188</v>
      </c>
      <c r="I127" s="7">
        <v>1</v>
      </c>
      <c r="J127" s="7">
        <v>1</v>
      </c>
      <c r="K127" s="7">
        <f t="shared" si="96"/>
        <v>-1</v>
      </c>
      <c r="L127" s="7">
        <f t="shared" si="96"/>
        <v>-1</v>
      </c>
      <c r="M127" s="7">
        <f t="shared" si="96"/>
        <v>-1</v>
      </c>
      <c r="N127" s="7">
        <f t="shared" si="96"/>
        <v>1</v>
      </c>
      <c r="O127" s="7">
        <f t="shared" si="96"/>
        <v>-1</v>
      </c>
      <c r="P127" s="7">
        <v>99</v>
      </c>
      <c r="Q127" s="7" t="str">
        <f t="shared" ref="Q127" si="97">B127</f>
        <v>ForcedCoalIRP</v>
      </c>
      <c r="AY127" s="7">
        <f t="shared" ref="AY127" si="98">IF(LEN(B127)&gt;30,1,0)</f>
        <v>0</v>
      </c>
      <c r="BC127" s="7">
        <v>1</v>
      </c>
    </row>
    <row r="128" spans="1:57" s="7" customFormat="1">
      <c r="A128" s="17">
        <v>0</v>
      </c>
      <c r="B128" s="7" t="s">
        <v>411</v>
      </c>
      <c r="C128" s="7" t="s">
        <v>201</v>
      </c>
      <c r="D128" s="7" t="s">
        <v>30</v>
      </c>
      <c r="E128" s="7" t="s">
        <v>378</v>
      </c>
      <c r="F128" s="7">
        <v>1</v>
      </c>
      <c r="G128" s="7">
        <v>0</v>
      </c>
      <c r="H128" s="7" t="s">
        <v>188</v>
      </c>
      <c r="I128" s="7">
        <v>1</v>
      </c>
      <c r="J128" s="7">
        <v>1</v>
      </c>
      <c r="K128" s="7">
        <f t="shared" si="96"/>
        <v>-1</v>
      </c>
      <c r="L128" s="7">
        <f t="shared" si="96"/>
        <v>-1</v>
      </c>
      <c r="M128" s="7">
        <f t="shared" si="96"/>
        <v>-1</v>
      </c>
      <c r="N128" s="7">
        <f t="shared" si="96"/>
        <v>1</v>
      </c>
      <c r="O128" s="7">
        <f t="shared" si="96"/>
        <v>-1</v>
      </c>
      <c r="P128" s="7">
        <v>99</v>
      </c>
      <c r="Q128" s="7" t="str">
        <f>B128</f>
        <v>ReferenceIRPNER</v>
      </c>
      <c r="AY128" s="7">
        <f>IF(LEN(B128)&gt;30,1,0)</f>
        <v>0</v>
      </c>
      <c r="BC128" s="7">
        <v>1</v>
      </c>
    </row>
    <row r="129" spans="1:58" s="7" customFormat="1">
      <c r="A129" s="17">
        <v>0</v>
      </c>
      <c r="B129" s="7" t="s">
        <v>412</v>
      </c>
      <c r="C129" s="7" t="s">
        <v>201</v>
      </c>
      <c r="D129" s="7" t="s">
        <v>30</v>
      </c>
      <c r="E129" s="7" t="s">
        <v>393</v>
      </c>
      <c r="F129" s="7">
        <v>0</v>
      </c>
      <c r="G129" s="7">
        <v>0</v>
      </c>
      <c r="H129" s="7" t="s">
        <v>188</v>
      </c>
      <c r="I129" s="7">
        <v>1</v>
      </c>
      <c r="J129" s="7">
        <v>1</v>
      </c>
      <c r="K129" s="7">
        <f t="shared" si="96"/>
        <v>-1</v>
      </c>
      <c r="L129" s="7">
        <f t="shared" si="96"/>
        <v>-1</v>
      </c>
      <c r="M129" s="7">
        <f t="shared" si="96"/>
        <v>-1</v>
      </c>
      <c r="N129" s="7">
        <f t="shared" si="96"/>
        <v>1</v>
      </c>
      <c r="O129" s="7">
        <f t="shared" si="96"/>
        <v>-1</v>
      </c>
      <c r="P129" s="7">
        <v>99</v>
      </c>
      <c r="Q129" s="7" t="str">
        <f t="shared" ref="Q129" si="99">B129</f>
        <v>ForcedCoalIRPNER</v>
      </c>
      <c r="AY129" s="7">
        <f t="shared" ref="AY129" si="100">IF(LEN(B129)&gt;30,1,0)</f>
        <v>0</v>
      </c>
      <c r="BC129" s="7">
        <v>1</v>
      </c>
    </row>
    <row r="130" spans="1:58" s="7" customFormat="1">
      <c r="A130" s="17">
        <v>0</v>
      </c>
      <c r="B130" s="7" t="s">
        <v>387</v>
      </c>
      <c r="C130" s="7" t="s">
        <v>201</v>
      </c>
      <c r="D130" s="7" t="s">
        <v>30</v>
      </c>
      <c r="E130" s="7" t="s">
        <v>237</v>
      </c>
      <c r="F130" s="7">
        <v>1</v>
      </c>
      <c r="G130" s="7">
        <v>0</v>
      </c>
      <c r="H130" s="7" t="s">
        <v>188</v>
      </c>
      <c r="I130" s="7">
        <v>1</v>
      </c>
      <c r="J130" s="7">
        <v>1</v>
      </c>
      <c r="K130" s="7">
        <f t="shared" si="72"/>
        <v>-1</v>
      </c>
      <c r="L130" s="7">
        <f t="shared" si="69"/>
        <v>-1</v>
      </c>
      <c r="M130" s="7">
        <f t="shared" si="69"/>
        <v>-1</v>
      </c>
      <c r="N130" s="7">
        <f t="shared" si="69"/>
        <v>1</v>
      </c>
      <c r="O130" s="7">
        <f t="shared" si="69"/>
        <v>-1</v>
      </c>
      <c r="P130" s="7">
        <v>7</v>
      </c>
      <c r="Q130" s="7" t="str">
        <f t="shared" si="94"/>
        <v>Reference350</v>
      </c>
      <c r="AY130" s="7">
        <f t="shared" si="95"/>
        <v>0</v>
      </c>
      <c r="BC130" s="7">
        <v>1</v>
      </c>
    </row>
    <row r="131" spans="1:58" s="7" customFormat="1">
      <c r="A131" s="17">
        <v>0</v>
      </c>
      <c r="B131" s="7" t="s">
        <v>386</v>
      </c>
      <c r="C131" s="7" t="s">
        <v>201</v>
      </c>
      <c r="D131" s="7" t="s">
        <v>30</v>
      </c>
      <c r="E131" s="7" t="s">
        <v>383</v>
      </c>
      <c r="F131" s="7">
        <v>1</v>
      </c>
      <c r="G131" s="7">
        <v>0</v>
      </c>
      <c r="H131" s="7" t="s">
        <v>188</v>
      </c>
      <c r="I131" s="7">
        <v>1</v>
      </c>
      <c r="J131" s="7">
        <v>1</v>
      </c>
      <c r="K131" s="7">
        <f t="shared" si="72"/>
        <v>-1</v>
      </c>
      <c r="L131" s="7">
        <f t="shared" si="69"/>
        <v>-1</v>
      </c>
      <c r="M131" s="7">
        <f t="shared" si="69"/>
        <v>-1</v>
      </c>
      <c r="N131" s="7">
        <f t="shared" si="69"/>
        <v>1</v>
      </c>
      <c r="O131" s="7">
        <f t="shared" si="69"/>
        <v>-1</v>
      </c>
      <c r="P131" s="7">
        <v>7</v>
      </c>
      <c r="Q131" s="7" t="str">
        <f t="shared" ref="Q131:Q132" si="101">B131</f>
        <v>ForcedCoal350</v>
      </c>
      <c r="AY131" s="7">
        <f t="shared" ref="AY131:AY132" si="102">IF(LEN(B131)&gt;30,1,0)</f>
        <v>0</v>
      </c>
      <c r="BC131" s="7">
        <v>1</v>
      </c>
    </row>
    <row r="132" spans="1:58" s="7" customFormat="1">
      <c r="A132" s="17">
        <v>1</v>
      </c>
      <c r="B132" s="7" t="s">
        <v>388</v>
      </c>
      <c r="C132" s="7" t="s">
        <v>201</v>
      </c>
      <c r="D132" s="7" t="s">
        <v>30</v>
      </c>
      <c r="E132" s="7" t="s">
        <v>259</v>
      </c>
      <c r="F132" s="7">
        <v>0</v>
      </c>
      <c r="G132" s="7">
        <v>0</v>
      </c>
      <c r="H132" s="7" t="s">
        <v>188</v>
      </c>
      <c r="I132" s="7">
        <v>1</v>
      </c>
      <c r="J132" s="7">
        <v>1</v>
      </c>
      <c r="K132" s="7">
        <f t="shared" si="72"/>
        <v>-1</v>
      </c>
      <c r="L132" s="7">
        <f t="shared" si="69"/>
        <v>-1</v>
      </c>
      <c r="M132" s="7">
        <f t="shared" si="69"/>
        <v>-1</v>
      </c>
      <c r="N132" s="7">
        <f t="shared" si="69"/>
        <v>1</v>
      </c>
      <c r="O132" s="7">
        <f t="shared" si="69"/>
        <v>-1</v>
      </c>
      <c r="P132" s="7">
        <v>7</v>
      </c>
      <c r="Q132" s="7" t="str">
        <f t="shared" si="101"/>
        <v>ReferencePAMS350</v>
      </c>
      <c r="AY132" s="7">
        <f t="shared" si="102"/>
        <v>0</v>
      </c>
      <c r="BC132" s="7">
        <v>1</v>
      </c>
    </row>
    <row r="133" spans="1:58" s="7" customFormat="1">
      <c r="A133" s="17">
        <v>1</v>
      </c>
      <c r="B133" s="7" t="s">
        <v>389</v>
      </c>
      <c r="C133" s="7" t="s">
        <v>201</v>
      </c>
      <c r="D133" s="7" t="s">
        <v>30</v>
      </c>
      <c r="E133" s="7" t="s">
        <v>390</v>
      </c>
      <c r="F133" s="7">
        <v>1</v>
      </c>
      <c r="G133" s="7">
        <v>0</v>
      </c>
      <c r="H133" s="7" t="s">
        <v>188</v>
      </c>
      <c r="I133" s="7">
        <v>1</v>
      </c>
      <c r="J133" s="7">
        <v>1</v>
      </c>
      <c r="K133" s="7">
        <f t="shared" si="72"/>
        <v>-1</v>
      </c>
      <c r="L133" s="7">
        <f t="shared" si="69"/>
        <v>-1</v>
      </c>
      <c r="M133" s="7">
        <f t="shared" si="69"/>
        <v>-1</v>
      </c>
      <c r="N133" s="7">
        <f t="shared" si="69"/>
        <v>1</v>
      </c>
      <c r="O133" s="7">
        <f t="shared" si="69"/>
        <v>-1</v>
      </c>
      <c r="P133" s="7">
        <v>7</v>
      </c>
      <c r="Q133" s="7" t="str">
        <f t="shared" ref="Q133:Q134" si="103">B133</f>
        <v>ForcedCoalPAMS350</v>
      </c>
      <c r="AY133" s="7">
        <f t="shared" ref="AY133:AY134" si="104">IF(LEN(B133)&gt;30,1,0)</f>
        <v>0</v>
      </c>
      <c r="BC133" s="7">
        <v>1</v>
      </c>
    </row>
    <row r="134" spans="1:58" s="7" customFormat="1">
      <c r="A134" s="17">
        <v>0</v>
      </c>
      <c r="B134" s="7" t="s">
        <v>413</v>
      </c>
      <c r="C134" s="7" t="s">
        <v>201</v>
      </c>
      <c r="D134" s="7" t="s">
        <v>30</v>
      </c>
      <c r="E134" s="7" t="s">
        <v>259</v>
      </c>
      <c r="F134" s="7">
        <v>1</v>
      </c>
      <c r="G134" s="7">
        <v>0</v>
      </c>
      <c r="H134" s="7" t="s">
        <v>188</v>
      </c>
      <c r="I134" s="7">
        <v>1</v>
      </c>
      <c r="J134" s="7">
        <v>1</v>
      </c>
      <c r="K134" s="7">
        <f t="shared" si="72"/>
        <v>-1</v>
      </c>
      <c r="L134" s="7">
        <f t="shared" si="72"/>
        <v>-1</v>
      </c>
      <c r="M134" s="7">
        <f t="shared" si="72"/>
        <v>-1</v>
      </c>
      <c r="N134" s="7">
        <f t="shared" si="72"/>
        <v>1</v>
      </c>
      <c r="O134" s="7">
        <f t="shared" si="72"/>
        <v>-1</v>
      </c>
      <c r="P134" s="7">
        <v>7</v>
      </c>
      <c r="Q134" s="7" t="str">
        <f t="shared" si="103"/>
        <v>ReferencePAMS350NER</v>
      </c>
      <c r="AY134" s="7">
        <f t="shared" si="104"/>
        <v>0</v>
      </c>
      <c r="BC134" s="7">
        <v>1</v>
      </c>
    </row>
    <row r="135" spans="1:58" s="7" customFormat="1">
      <c r="A135" s="17">
        <v>0</v>
      </c>
      <c r="B135" s="7" t="s">
        <v>414</v>
      </c>
      <c r="C135" s="7" t="s">
        <v>201</v>
      </c>
      <c r="D135" s="7" t="s">
        <v>30</v>
      </c>
      <c r="E135" s="7" t="s">
        <v>390</v>
      </c>
      <c r="F135" s="7">
        <v>1</v>
      </c>
      <c r="G135" s="7">
        <v>0</v>
      </c>
      <c r="H135" s="7" t="s">
        <v>188</v>
      </c>
      <c r="I135" s="7">
        <v>1</v>
      </c>
      <c r="J135" s="7">
        <v>1</v>
      </c>
      <c r="K135" s="7">
        <f t="shared" si="72"/>
        <v>-1</v>
      </c>
      <c r="L135" s="7">
        <f t="shared" si="72"/>
        <v>-1</v>
      </c>
      <c r="M135" s="7">
        <f t="shared" si="72"/>
        <v>-1</v>
      </c>
      <c r="N135" s="7">
        <f t="shared" si="72"/>
        <v>1</v>
      </c>
      <c r="O135" s="7">
        <f t="shared" si="72"/>
        <v>-1</v>
      </c>
      <c r="P135" s="7">
        <v>7</v>
      </c>
      <c r="Q135" s="7" t="str">
        <f t="shared" ref="Q135" si="105">B135</f>
        <v>ForcedCoalPAMS350NER</v>
      </c>
      <c r="AY135" s="7">
        <f t="shared" ref="AY135" si="106">IF(LEN(B135)&gt;30,1,0)</f>
        <v>0</v>
      </c>
      <c r="BC135" s="7">
        <v>1</v>
      </c>
    </row>
    <row r="136" spans="1:58" s="7" customFormat="1">
      <c r="A136" s="17">
        <v>0</v>
      </c>
      <c r="B136" s="7" t="s">
        <v>274</v>
      </c>
      <c r="C136" s="7" t="s">
        <v>201</v>
      </c>
      <c r="D136" s="7" t="s">
        <v>30</v>
      </c>
      <c r="E136" s="7" t="s">
        <v>274</v>
      </c>
      <c r="F136" s="7">
        <v>0</v>
      </c>
      <c r="G136" s="7">
        <v>0</v>
      </c>
      <c r="H136" s="7" t="s">
        <v>188</v>
      </c>
      <c r="I136" s="7">
        <v>1</v>
      </c>
      <c r="J136" s="7">
        <v>1</v>
      </c>
      <c r="K136" s="7">
        <f t="shared" si="72"/>
        <v>-1</v>
      </c>
      <c r="L136" s="7">
        <f t="shared" si="69"/>
        <v>-1</v>
      </c>
      <c r="M136" s="7">
        <f t="shared" si="69"/>
        <v>-1</v>
      </c>
      <c r="N136" s="7">
        <f t="shared" si="69"/>
        <v>1</v>
      </c>
      <c r="O136" s="7">
        <f t="shared" si="69"/>
        <v>-1</v>
      </c>
      <c r="Q136" s="7" t="str">
        <f t="shared" si="87"/>
        <v>NZ-CO2S2050</v>
      </c>
      <c r="AY136" s="7">
        <f t="shared" si="88"/>
        <v>0</v>
      </c>
      <c r="BD136" s="7">
        <v>1</v>
      </c>
    </row>
    <row r="137" spans="1:58" s="7" customFormat="1">
      <c r="A137" s="17">
        <v>0</v>
      </c>
      <c r="B137" s="7" t="s">
        <v>282</v>
      </c>
      <c r="C137" s="7" t="s">
        <v>201</v>
      </c>
      <c r="D137" s="7" t="s">
        <v>30</v>
      </c>
      <c r="E137" s="7" t="s">
        <v>282</v>
      </c>
      <c r="F137" s="7">
        <v>1</v>
      </c>
      <c r="G137" s="7">
        <v>1</v>
      </c>
      <c r="H137" s="7" t="s">
        <v>188</v>
      </c>
      <c r="I137" s="7">
        <v>1</v>
      </c>
      <c r="J137" s="7">
        <v>1</v>
      </c>
      <c r="K137" s="7">
        <f t="shared" si="72"/>
        <v>-1</v>
      </c>
      <c r="L137" s="7">
        <f t="shared" si="69"/>
        <v>-1</v>
      </c>
      <c r="M137" s="7">
        <f t="shared" si="69"/>
        <v>-1</v>
      </c>
      <c r="N137" s="7">
        <f t="shared" si="69"/>
        <v>1</v>
      </c>
      <c r="O137" s="7">
        <f t="shared" si="69"/>
        <v>-1</v>
      </c>
      <c r="Q137" s="7" t="str">
        <f t="shared" ref="Q137:Q148" si="107">B137</f>
        <v>IRPRE</v>
      </c>
      <c r="AY137" s="7">
        <f t="shared" si="88"/>
        <v>0</v>
      </c>
      <c r="BF137" s="7">
        <v>1</v>
      </c>
    </row>
    <row r="138" spans="1:58" s="7" customFormat="1">
      <c r="A138" s="17">
        <v>0</v>
      </c>
      <c r="B138" s="7" t="str">
        <f t="shared" ref="B138:B140" si="108">E138</f>
        <v>IRPRE-01P</v>
      </c>
      <c r="C138" s="7" t="s">
        <v>201</v>
      </c>
      <c r="D138" s="7" t="s">
        <v>30</v>
      </c>
      <c r="E138" s="7" t="s">
        <v>296</v>
      </c>
      <c r="F138" s="7">
        <v>1</v>
      </c>
      <c r="G138" s="7">
        <v>1</v>
      </c>
      <c r="H138" s="7" t="s">
        <v>188</v>
      </c>
      <c r="I138" s="7">
        <v>1</v>
      </c>
      <c r="J138" s="7">
        <v>1</v>
      </c>
      <c r="K138" s="7">
        <f t="shared" si="72"/>
        <v>-1</v>
      </c>
      <c r="L138" s="7">
        <f t="shared" si="69"/>
        <v>-1</v>
      </c>
      <c r="M138" s="7">
        <f t="shared" si="69"/>
        <v>-1</v>
      </c>
      <c r="N138" s="7">
        <f t="shared" si="69"/>
        <v>1</v>
      </c>
      <c r="O138" s="7">
        <f t="shared" si="69"/>
        <v>-1</v>
      </c>
      <c r="Q138" s="7" t="str">
        <f t="shared" ref="Q138:Q140" si="109">B138</f>
        <v>IRPRE-01P</v>
      </c>
      <c r="AY138" s="7">
        <f t="shared" si="88"/>
        <v>0</v>
      </c>
      <c r="BF138" s="7">
        <v>1</v>
      </c>
    </row>
    <row r="139" spans="1:58" s="7" customFormat="1">
      <c r="A139" s="17">
        <v>0</v>
      </c>
      <c r="B139" s="7" t="str">
        <f t="shared" si="108"/>
        <v>IRPRE-05P</v>
      </c>
      <c r="C139" s="7" t="s">
        <v>201</v>
      </c>
      <c r="D139" s="7" t="s">
        <v>30</v>
      </c>
      <c r="E139" s="7" t="s">
        <v>297</v>
      </c>
      <c r="F139" s="7">
        <v>1</v>
      </c>
      <c r="G139" s="7">
        <v>1</v>
      </c>
      <c r="H139" s="7" t="s">
        <v>188</v>
      </c>
      <c r="I139" s="7">
        <v>1</v>
      </c>
      <c r="J139" s="7">
        <v>1</v>
      </c>
      <c r="K139" s="7">
        <f t="shared" si="72"/>
        <v>-1</v>
      </c>
      <c r="L139" s="7">
        <f t="shared" si="69"/>
        <v>-1</v>
      </c>
      <c r="M139" s="7">
        <f t="shared" si="69"/>
        <v>-1</v>
      </c>
      <c r="N139" s="7">
        <f t="shared" si="69"/>
        <v>1</v>
      </c>
      <c r="O139" s="7">
        <f t="shared" si="69"/>
        <v>-1</v>
      </c>
      <c r="Q139" s="7" t="str">
        <f t="shared" si="109"/>
        <v>IRPRE-05P</v>
      </c>
      <c r="AY139" s="7">
        <f t="shared" si="88"/>
        <v>0</v>
      </c>
      <c r="BF139" s="7">
        <v>1</v>
      </c>
    </row>
    <row r="140" spans="1:58" s="7" customFormat="1">
      <c r="A140" s="17">
        <v>0</v>
      </c>
      <c r="B140" s="7" t="str">
        <f t="shared" si="108"/>
        <v>IRPRE-10P</v>
      </c>
      <c r="C140" s="7" t="s">
        <v>201</v>
      </c>
      <c r="D140" s="7" t="s">
        <v>30</v>
      </c>
      <c r="E140" s="7" t="s">
        <v>298</v>
      </c>
      <c r="F140" s="7">
        <v>1</v>
      </c>
      <c r="G140" s="7">
        <v>1</v>
      </c>
      <c r="H140" s="7" t="s">
        <v>188</v>
      </c>
      <c r="I140" s="7">
        <v>1</v>
      </c>
      <c r="J140" s="7">
        <v>1</v>
      </c>
      <c r="K140" s="7">
        <f t="shared" si="72"/>
        <v>-1</v>
      </c>
      <c r="L140" s="7">
        <f t="shared" si="69"/>
        <v>-1</v>
      </c>
      <c r="M140" s="7">
        <f t="shared" si="69"/>
        <v>-1</v>
      </c>
      <c r="N140" s="7">
        <f t="shared" si="69"/>
        <v>1</v>
      </c>
      <c r="O140" s="7">
        <f t="shared" si="69"/>
        <v>-1</v>
      </c>
      <c r="Q140" s="7" t="str">
        <f t="shared" si="109"/>
        <v>IRPRE-10P</v>
      </c>
      <c r="AY140" s="7">
        <f t="shared" si="88"/>
        <v>0</v>
      </c>
      <c r="BF140" s="7">
        <v>1</v>
      </c>
    </row>
    <row r="141" spans="1:58" s="7" customFormat="1">
      <c r="A141" s="17">
        <v>0</v>
      </c>
      <c r="B141" s="7" t="str">
        <f>E141</f>
        <v>IRPRE-25P</v>
      </c>
      <c r="C141" s="7" t="s">
        <v>201</v>
      </c>
      <c r="D141" s="7" t="s">
        <v>30</v>
      </c>
      <c r="E141" s="7" t="s">
        <v>283</v>
      </c>
      <c r="F141" s="7">
        <v>1</v>
      </c>
      <c r="G141" s="7">
        <v>1</v>
      </c>
      <c r="H141" s="7" t="s">
        <v>188</v>
      </c>
      <c r="I141" s="7">
        <v>1</v>
      </c>
      <c r="J141" s="7">
        <v>1</v>
      </c>
      <c r="K141" s="7">
        <f t="shared" si="72"/>
        <v>-1</v>
      </c>
      <c r="L141" s="7">
        <f t="shared" si="69"/>
        <v>-1</v>
      </c>
      <c r="M141" s="7">
        <f t="shared" si="69"/>
        <v>-1</v>
      </c>
      <c r="N141" s="7">
        <f t="shared" si="69"/>
        <v>1</v>
      </c>
      <c r="O141" s="7">
        <f t="shared" si="69"/>
        <v>-1</v>
      </c>
      <c r="Q141" s="7" t="str">
        <f t="shared" si="107"/>
        <v>IRPRE-25P</v>
      </c>
      <c r="AY141" s="7">
        <f t="shared" si="88"/>
        <v>0</v>
      </c>
      <c r="BF141" s="7">
        <v>1</v>
      </c>
    </row>
    <row r="142" spans="1:58" s="7" customFormat="1">
      <c r="A142" s="17">
        <v>0</v>
      </c>
      <c r="B142" s="7" t="str">
        <f>E142</f>
        <v>IRPRE-50P</v>
      </c>
      <c r="C142" s="7" t="s">
        <v>201</v>
      </c>
      <c r="D142" s="7" t="s">
        <v>30</v>
      </c>
      <c r="E142" s="7" t="s">
        <v>284</v>
      </c>
      <c r="F142" s="7">
        <v>1</v>
      </c>
      <c r="G142" s="7">
        <v>1</v>
      </c>
      <c r="H142" s="7" t="s">
        <v>188</v>
      </c>
      <c r="I142" s="7">
        <v>1</v>
      </c>
      <c r="J142" s="7">
        <v>1</v>
      </c>
      <c r="K142" s="7">
        <f t="shared" si="72"/>
        <v>-1</v>
      </c>
      <c r="L142" s="7">
        <f t="shared" si="69"/>
        <v>-1</v>
      </c>
      <c r="M142" s="7">
        <f t="shared" si="69"/>
        <v>-1</v>
      </c>
      <c r="N142" s="7">
        <f t="shared" si="69"/>
        <v>1</v>
      </c>
      <c r="O142" s="7">
        <f t="shared" si="69"/>
        <v>-1</v>
      </c>
      <c r="Q142" s="7" t="str">
        <f t="shared" si="107"/>
        <v>IRPRE-50P</v>
      </c>
      <c r="AY142" s="7">
        <f t="shared" si="88"/>
        <v>0</v>
      </c>
      <c r="BF142" s="7">
        <v>1</v>
      </c>
    </row>
    <row r="143" spans="1:58" s="7" customFormat="1">
      <c r="A143" s="17">
        <v>0</v>
      </c>
      <c r="B143" s="7" t="s">
        <v>285</v>
      </c>
      <c r="C143" s="7" t="s">
        <v>201</v>
      </c>
      <c r="D143" s="7" t="s">
        <v>30</v>
      </c>
      <c r="E143" s="7" t="s">
        <v>273</v>
      </c>
      <c r="F143" s="7">
        <v>1</v>
      </c>
      <c r="G143" s="7">
        <v>1</v>
      </c>
      <c r="H143" s="7" t="s">
        <v>188</v>
      </c>
      <c r="I143" s="7">
        <v>1</v>
      </c>
      <c r="J143" s="7">
        <v>1</v>
      </c>
      <c r="K143" s="7">
        <f t="shared" si="72"/>
        <v>-1</v>
      </c>
      <c r="L143" s="7">
        <f t="shared" si="69"/>
        <v>-1</v>
      </c>
      <c r="M143" s="7">
        <f t="shared" si="69"/>
        <v>-1</v>
      </c>
      <c r="N143" s="7">
        <f t="shared" si="69"/>
        <v>1</v>
      </c>
      <c r="O143" s="7">
        <f t="shared" si="69"/>
        <v>-1</v>
      </c>
      <c r="Q143" s="7" t="str">
        <f t="shared" ref="Q143:Q145" si="110">B143</f>
        <v>OPT</v>
      </c>
      <c r="AY143" s="7">
        <f t="shared" si="88"/>
        <v>0</v>
      </c>
      <c r="BF143" s="7">
        <v>1</v>
      </c>
    </row>
    <row r="144" spans="1:58" s="7" customFormat="1">
      <c r="A144" s="17">
        <v>0</v>
      </c>
      <c r="B144" s="7" t="s">
        <v>292</v>
      </c>
      <c r="C144" s="7" t="s">
        <v>201</v>
      </c>
      <c r="D144" s="7" t="s">
        <v>30</v>
      </c>
      <c r="E144" s="7" t="s">
        <v>290</v>
      </c>
      <c r="F144" s="7">
        <v>1</v>
      </c>
      <c r="G144" s="7">
        <v>1</v>
      </c>
      <c r="H144" s="7" t="s">
        <v>188</v>
      </c>
      <c r="I144" s="7">
        <v>1</v>
      </c>
      <c r="J144" s="7">
        <v>1</v>
      </c>
      <c r="K144" s="7">
        <f t="shared" si="72"/>
        <v>-1</v>
      </c>
      <c r="L144" s="7">
        <f t="shared" si="69"/>
        <v>-1</v>
      </c>
      <c r="M144" s="7">
        <f t="shared" si="69"/>
        <v>-1</v>
      </c>
      <c r="N144" s="7">
        <f t="shared" si="69"/>
        <v>1</v>
      </c>
      <c r="O144" s="7">
        <f t="shared" si="69"/>
        <v>-1</v>
      </c>
      <c r="Q144" s="7" t="str">
        <f t="shared" si="110"/>
        <v>OPT-01P</v>
      </c>
      <c r="AY144" s="7">
        <f t="shared" si="88"/>
        <v>0</v>
      </c>
      <c r="BF144" s="7">
        <v>1</v>
      </c>
    </row>
    <row r="145" spans="1:59" s="7" customFormat="1">
      <c r="A145" s="17">
        <v>0</v>
      </c>
      <c r="B145" s="7" t="s">
        <v>293</v>
      </c>
      <c r="C145" s="7" t="s">
        <v>201</v>
      </c>
      <c r="D145" s="7" t="s">
        <v>30</v>
      </c>
      <c r="E145" s="7" t="s">
        <v>291</v>
      </c>
      <c r="F145" s="7">
        <v>1</v>
      </c>
      <c r="G145" s="7">
        <v>1</v>
      </c>
      <c r="H145" s="7" t="s">
        <v>188</v>
      </c>
      <c r="I145" s="7">
        <v>1</v>
      </c>
      <c r="J145" s="7">
        <v>1</v>
      </c>
      <c r="K145" s="7">
        <f t="shared" si="72"/>
        <v>-1</v>
      </c>
      <c r="L145" s="7">
        <f t="shared" si="69"/>
        <v>-1</v>
      </c>
      <c r="M145" s="7">
        <f t="shared" si="69"/>
        <v>-1</v>
      </c>
      <c r="N145" s="7">
        <f t="shared" si="69"/>
        <v>1</v>
      </c>
      <c r="O145" s="7">
        <f t="shared" si="69"/>
        <v>-1</v>
      </c>
      <c r="Q145" s="7" t="str">
        <f t="shared" si="110"/>
        <v>OPT-05P</v>
      </c>
      <c r="AY145" s="7">
        <f t="shared" si="88"/>
        <v>0</v>
      </c>
      <c r="BF145" s="7">
        <v>1</v>
      </c>
    </row>
    <row r="146" spans="1:59" s="7" customFormat="1">
      <c r="A146" s="17">
        <v>0</v>
      </c>
      <c r="B146" s="7" t="s">
        <v>294</v>
      </c>
      <c r="C146" s="7" t="s">
        <v>201</v>
      </c>
      <c r="D146" s="7" t="s">
        <v>30</v>
      </c>
      <c r="E146" s="7" t="s">
        <v>295</v>
      </c>
      <c r="F146" s="7">
        <v>1</v>
      </c>
      <c r="G146" s="7">
        <v>1</v>
      </c>
      <c r="H146" s="7" t="s">
        <v>188</v>
      </c>
      <c r="I146" s="7">
        <v>1</v>
      </c>
      <c r="J146" s="7">
        <v>1</v>
      </c>
      <c r="K146" s="7">
        <f t="shared" si="72"/>
        <v>-1</v>
      </c>
      <c r="L146" s="7">
        <f t="shared" si="69"/>
        <v>-1</v>
      </c>
      <c r="M146" s="7">
        <f t="shared" si="69"/>
        <v>-1</v>
      </c>
      <c r="N146" s="7">
        <f t="shared" si="69"/>
        <v>1</v>
      </c>
      <c r="O146" s="7">
        <f t="shared" si="69"/>
        <v>-1</v>
      </c>
      <c r="Q146" s="7" t="str">
        <f t="shared" ref="Q146" si="111">B146</f>
        <v>OPT-10P</v>
      </c>
      <c r="AY146" s="7">
        <f t="shared" si="88"/>
        <v>0</v>
      </c>
      <c r="BF146" s="7">
        <v>1</v>
      </c>
    </row>
    <row r="147" spans="1:59" s="7" customFormat="1">
      <c r="A147" s="17">
        <v>0</v>
      </c>
      <c r="B147" s="7" t="s">
        <v>286</v>
      </c>
      <c r="C147" s="7" t="s">
        <v>201</v>
      </c>
      <c r="D147" s="7" t="s">
        <v>30</v>
      </c>
      <c r="E147" s="7" t="s">
        <v>288</v>
      </c>
      <c r="F147" s="7">
        <v>1</v>
      </c>
      <c r="G147" s="7">
        <v>1</v>
      </c>
      <c r="H147" s="7" t="s">
        <v>188</v>
      </c>
      <c r="I147" s="7">
        <v>1</v>
      </c>
      <c r="J147" s="7">
        <v>1</v>
      </c>
      <c r="K147" s="7">
        <f t="shared" si="72"/>
        <v>-1</v>
      </c>
      <c r="L147" s="7">
        <f t="shared" si="69"/>
        <v>-1</v>
      </c>
      <c r="M147" s="7">
        <f t="shared" si="69"/>
        <v>-1</v>
      </c>
      <c r="N147" s="7">
        <f t="shared" si="69"/>
        <v>1</v>
      </c>
      <c r="O147" s="7">
        <f t="shared" si="69"/>
        <v>-1</v>
      </c>
      <c r="Q147" s="7" t="str">
        <f t="shared" si="107"/>
        <v>OPT-25P</v>
      </c>
      <c r="AY147" s="7">
        <f t="shared" si="88"/>
        <v>0</v>
      </c>
      <c r="BF147" s="7">
        <v>1</v>
      </c>
    </row>
    <row r="148" spans="1:59" s="7" customFormat="1">
      <c r="A148" s="17">
        <v>0</v>
      </c>
      <c r="B148" s="7" t="s">
        <v>287</v>
      </c>
      <c r="C148" s="7" t="s">
        <v>201</v>
      </c>
      <c r="D148" s="7" t="s">
        <v>30</v>
      </c>
      <c r="E148" s="7" t="s">
        <v>289</v>
      </c>
      <c r="F148" s="7">
        <v>1</v>
      </c>
      <c r="G148" s="7">
        <v>1</v>
      </c>
      <c r="H148" s="7" t="s">
        <v>188</v>
      </c>
      <c r="I148" s="7">
        <v>1</v>
      </c>
      <c r="J148" s="7">
        <v>1</v>
      </c>
      <c r="K148" s="7">
        <f t="shared" si="72"/>
        <v>-1</v>
      </c>
      <c r="L148" s="7">
        <f t="shared" si="69"/>
        <v>-1</v>
      </c>
      <c r="M148" s="7">
        <f t="shared" si="69"/>
        <v>-1</v>
      </c>
      <c r="N148" s="7">
        <f t="shared" si="69"/>
        <v>1</v>
      </c>
      <c r="O148" s="7">
        <f t="shared" si="69"/>
        <v>-1</v>
      </c>
      <c r="Q148" s="7" t="str">
        <f t="shared" si="107"/>
        <v>OPT-50P</v>
      </c>
      <c r="AY148" s="7">
        <f t="shared" si="88"/>
        <v>0</v>
      </c>
      <c r="BF148" s="7">
        <v>1</v>
      </c>
    </row>
    <row r="149" spans="1:59" s="7" customFormat="1">
      <c r="A149" s="17">
        <v>0</v>
      </c>
      <c r="B149" s="7" t="s">
        <v>268</v>
      </c>
      <c r="C149" s="7" t="s">
        <v>201</v>
      </c>
      <c r="D149" s="7" t="s">
        <v>30</v>
      </c>
      <c r="E149" s="7" t="s">
        <v>269</v>
      </c>
      <c r="F149" s="7">
        <v>1</v>
      </c>
      <c r="G149" s="7">
        <v>1</v>
      </c>
      <c r="H149" s="7" t="s">
        <v>188</v>
      </c>
      <c r="I149" s="7">
        <v>1</v>
      </c>
      <c r="J149" s="7">
        <v>1</v>
      </c>
      <c r="K149" s="7">
        <f t="shared" si="72"/>
        <v>-1</v>
      </c>
      <c r="L149" s="7">
        <f t="shared" si="69"/>
        <v>-1</v>
      </c>
      <c r="M149" s="7">
        <f t="shared" si="69"/>
        <v>-1</v>
      </c>
      <c r="N149" s="7">
        <f t="shared" si="69"/>
        <v>1</v>
      </c>
      <c r="O149" s="7">
        <f t="shared" si="69"/>
        <v>-1</v>
      </c>
      <c r="Q149" s="7" t="str">
        <f t="shared" ref="Q149:Q158" si="112">B149</f>
        <v>NoPAMS_Fnuc</v>
      </c>
      <c r="AY149" s="7">
        <f t="shared" ref="AY149" si="113">IF(LEN(B149)&gt;30,1,0)</f>
        <v>0</v>
      </c>
      <c r="BB149" s="7">
        <v>1</v>
      </c>
    </row>
    <row r="150" spans="1:59" s="7" customFormat="1">
      <c r="A150" s="17">
        <v>0</v>
      </c>
      <c r="B150" s="7" t="s">
        <v>395</v>
      </c>
      <c r="C150" s="7" t="s">
        <v>201</v>
      </c>
      <c r="D150" s="7" t="s">
        <v>30</v>
      </c>
      <c r="E150" s="7" t="s">
        <v>394</v>
      </c>
      <c r="F150" s="7">
        <v>0</v>
      </c>
      <c r="G150" s="7">
        <v>0</v>
      </c>
      <c r="H150" s="7" t="s">
        <v>188</v>
      </c>
      <c r="I150" s="7">
        <v>1</v>
      </c>
      <c r="J150" s="7">
        <v>1</v>
      </c>
      <c r="K150" s="7">
        <f t="shared" si="72"/>
        <v>-1</v>
      </c>
      <c r="L150" s="7">
        <f t="shared" si="69"/>
        <v>-1</v>
      </c>
      <c r="M150" s="7">
        <f t="shared" si="69"/>
        <v>-1</v>
      </c>
      <c r="N150" s="7">
        <f t="shared" si="69"/>
        <v>1</v>
      </c>
      <c r="O150" s="7">
        <f t="shared" si="69"/>
        <v>-1</v>
      </c>
      <c r="Q150" s="7" t="str">
        <f t="shared" si="112"/>
        <v>ScenarioA</v>
      </c>
      <c r="AY150" s="7">
        <f t="shared" si="88"/>
        <v>0</v>
      </c>
      <c r="BG150" s="7">
        <v>1</v>
      </c>
    </row>
    <row r="151" spans="1:59" s="7" customFormat="1">
      <c r="A151" s="17">
        <v>0</v>
      </c>
      <c r="B151" s="7" t="s">
        <v>409</v>
      </c>
      <c r="C151" s="7" t="s">
        <v>201</v>
      </c>
      <c r="D151" s="7" t="s">
        <v>30</v>
      </c>
      <c r="E151" s="7" t="s">
        <v>410</v>
      </c>
      <c r="F151" s="7">
        <v>0</v>
      </c>
      <c r="G151" s="7">
        <v>0</v>
      </c>
      <c r="H151" s="7" t="s">
        <v>188</v>
      </c>
      <c r="I151" s="7">
        <v>1</v>
      </c>
      <c r="J151" s="7">
        <v>1</v>
      </c>
      <c r="K151" s="7">
        <f t="shared" si="72"/>
        <v>-1</v>
      </c>
      <c r="L151" s="7">
        <f t="shared" si="69"/>
        <v>-1</v>
      </c>
      <c r="M151" s="7">
        <f t="shared" si="69"/>
        <v>-1</v>
      </c>
      <c r="N151" s="7">
        <f t="shared" si="69"/>
        <v>1</v>
      </c>
      <c r="O151" s="7">
        <f t="shared" ref="O151" si="114">INDEX(O$1:O$4,MATCH($H151,$J$1:$J$4,0))</f>
        <v>-1</v>
      </c>
      <c r="Q151" s="7" t="str">
        <f t="shared" si="112"/>
        <v>ScenarioAIRPL</v>
      </c>
      <c r="AY151" s="7">
        <f t="shared" ref="AY151" si="115">IF(LEN(B151)&gt;30,1,0)</f>
        <v>0</v>
      </c>
      <c r="BG151" s="7">
        <v>1</v>
      </c>
    </row>
    <row r="152" spans="1:59" s="7" customFormat="1">
      <c r="A152" s="17">
        <v>0</v>
      </c>
      <c r="B152" s="7" t="s">
        <v>396</v>
      </c>
      <c r="C152" s="7" t="s">
        <v>201</v>
      </c>
      <c r="D152" s="7" t="s">
        <v>30</v>
      </c>
      <c r="E152" s="7" t="s">
        <v>397</v>
      </c>
      <c r="F152" s="7">
        <v>0</v>
      </c>
      <c r="G152" s="7">
        <v>0</v>
      </c>
      <c r="H152" s="7" t="s">
        <v>188</v>
      </c>
      <c r="I152" s="7">
        <v>1</v>
      </c>
      <c r="J152" s="7">
        <v>1</v>
      </c>
      <c r="K152" s="7">
        <f t="shared" si="72"/>
        <v>-1</v>
      </c>
      <c r="L152" s="7">
        <f t="shared" si="69"/>
        <v>-1</v>
      </c>
      <c r="M152" s="7">
        <f t="shared" si="69"/>
        <v>-1</v>
      </c>
      <c r="N152" s="7">
        <f t="shared" si="69"/>
        <v>1</v>
      </c>
      <c r="O152" s="7">
        <f t="shared" si="69"/>
        <v>-1</v>
      </c>
      <c r="Q152" s="7" t="str">
        <f t="shared" si="112"/>
        <v>ScenarioBGrad</v>
      </c>
      <c r="AY152" s="7">
        <f t="shared" ref="AY152" si="116">IF(LEN(B152)&gt;30,1,0)</f>
        <v>0</v>
      </c>
      <c r="BG152" s="7">
        <v>1</v>
      </c>
    </row>
    <row r="153" spans="1:59" s="7" customFormat="1">
      <c r="A153" s="17">
        <v>0</v>
      </c>
      <c r="B153" s="7" t="s">
        <v>398</v>
      </c>
      <c r="C153" s="7" t="s">
        <v>201</v>
      </c>
      <c r="D153" s="7" t="s">
        <v>30</v>
      </c>
      <c r="E153" s="7" t="s">
        <v>399</v>
      </c>
      <c r="F153" s="7">
        <v>0</v>
      </c>
      <c r="G153" s="7">
        <v>0</v>
      </c>
      <c r="H153" s="7" t="s">
        <v>188</v>
      </c>
      <c r="I153" s="7">
        <v>1</v>
      </c>
      <c r="J153" s="7">
        <v>1</v>
      </c>
      <c r="K153" s="7">
        <f t="shared" si="72"/>
        <v>-1</v>
      </c>
      <c r="L153" s="7">
        <f t="shared" si="69"/>
        <v>-1</v>
      </c>
      <c r="M153" s="7">
        <f t="shared" si="69"/>
        <v>-1</v>
      </c>
      <c r="N153" s="7">
        <f t="shared" si="69"/>
        <v>1</v>
      </c>
      <c r="O153" s="7">
        <f t="shared" si="69"/>
        <v>-1</v>
      </c>
      <c r="Q153" s="7" t="str">
        <f t="shared" si="112"/>
        <v>ScenarioBSteep</v>
      </c>
      <c r="AY153" s="7">
        <f t="shared" ref="AY153" si="117">IF(LEN(B153)&gt;30,1,0)</f>
        <v>0</v>
      </c>
      <c r="BG153" s="7">
        <v>1</v>
      </c>
    </row>
    <row r="154" spans="1:59" s="7" customFormat="1">
      <c r="A154" s="17">
        <v>0</v>
      </c>
      <c r="B154" s="7" t="s">
        <v>400</v>
      </c>
      <c r="C154" s="7" t="s">
        <v>201</v>
      </c>
      <c r="D154" s="7" t="s">
        <v>30</v>
      </c>
      <c r="E154" s="7" t="s">
        <v>401</v>
      </c>
      <c r="F154" s="7">
        <v>0</v>
      </c>
      <c r="G154" s="7">
        <v>0</v>
      </c>
      <c r="H154" s="7" t="s">
        <v>188</v>
      </c>
      <c r="I154" s="7">
        <v>1</v>
      </c>
      <c r="J154" s="7">
        <v>1</v>
      </c>
      <c r="K154" s="7">
        <f t="shared" si="72"/>
        <v>-1</v>
      </c>
      <c r="L154" s="7">
        <f t="shared" si="69"/>
        <v>-1</v>
      </c>
      <c r="M154" s="7">
        <f t="shared" si="69"/>
        <v>-1</v>
      </c>
      <c r="N154" s="7">
        <f t="shared" si="69"/>
        <v>1</v>
      </c>
      <c r="O154" s="7">
        <f t="shared" si="69"/>
        <v>-1</v>
      </c>
      <c r="Q154" s="7" t="str">
        <f t="shared" si="112"/>
        <v>ScenarioBLast3</v>
      </c>
      <c r="AY154" s="7">
        <f t="shared" ref="AY154:AY156" si="118">IF(LEN(B154)&gt;30,1,0)</f>
        <v>0</v>
      </c>
      <c r="BG154" s="7">
        <v>1</v>
      </c>
    </row>
    <row r="155" spans="1:59" s="7" customFormat="1">
      <c r="A155" s="17">
        <v>0</v>
      </c>
      <c r="B155" s="7" t="s">
        <v>402</v>
      </c>
      <c r="C155" s="7" t="s">
        <v>201</v>
      </c>
      <c r="D155" s="7" t="s">
        <v>30</v>
      </c>
      <c r="E155" s="7" t="s">
        <v>405</v>
      </c>
      <c r="F155" s="7">
        <v>0</v>
      </c>
      <c r="G155" s="7">
        <v>0</v>
      </c>
      <c r="H155" s="7" t="s">
        <v>188</v>
      </c>
      <c r="I155" s="7">
        <v>1</v>
      </c>
      <c r="J155" s="7">
        <v>1</v>
      </c>
      <c r="K155" s="7">
        <f t="shared" si="72"/>
        <v>-1</v>
      </c>
      <c r="L155" s="7">
        <f t="shared" si="69"/>
        <v>-1</v>
      </c>
      <c r="M155" s="7">
        <f t="shared" si="69"/>
        <v>-1</v>
      </c>
      <c r="N155" s="7">
        <f t="shared" si="69"/>
        <v>1</v>
      </c>
      <c r="O155" s="7">
        <f t="shared" si="69"/>
        <v>-1</v>
      </c>
      <c r="Q155" s="7" t="str">
        <f t="shared" si="112"/>
        <v>ScenarioCGrad</v>
      </c>
      <c r="AY155" s="7">
        <f t="shared" si="118"/>
        <v>0</v>
      </c>
      <c r="BG155" s="7">
        <v>1</v>
      </c>
    </row>
    <row r="156" spans="1:59" s="7" customFormat="1">
      <c r="A156" s="17">
        <v>0</v>
      </c>
      <c r="B156" s="7" t="s">
        <v>403</v>
      </c>
      <c r="C156" s="7" t="s">
        <v>201</v>
      </c>
      <c r="D156" s="7" t="s">
        <v>30</v>
      </c>
      <c r="E156" s="7" t="s">
        <v>406</v>
      </c>
      <c r="F156" s="7">
        <v>0</v>
      </c>
      <c r="G156" s="7">
        <v>0</v>
      </c>
      <c r="H156" s="7" t="s">
        <v>188</v>
      </c>
      <c r="I156" s="7">
        <v>1</v>
      </c>
      <c r="J156" s="7">
        <v>1</v>
      </c>
      <c r="K156" s="7">
        <f t="shared" si="72"/>
        <v>-1</v>
      </c>
      <c r="L156" s="7">
        <f t="shared" si="69"/>
        <v>-1</v>
      </c>
      <c r="M156" s="7">
        <f t="shared" si="69"/>
        <v>-1</v>
      </c>
      <c r="N156" s="7">
        <f t="shared" si="69"/>
        <v>1</v>
      </c>
      <c r="O156" s="7">
        <f t="shared" si="69"/>
        <v>-1</v>
      </c>
      <c r="Q156" s="7" t="str">
        <f t="shared" si="112"/>
        <v>ScenarioCSteep</v>
      </c>
      <c r="AY156" s="7">
        <f t="shared" si="118"/>
        <v>0</v>
      </c>
      <c r="BG156" s="7">
        <v>1</v>
      </c>
    </row>
    <row r="157" spans="1:59" s="7" customFormat="1">
      <c r="A157" s="17">
        <v>0</v>
      </c>
      <c r="B157" s="7" t="s">
        <v>404</v>
      </c>
      <c r="C157" s="7" t="s">
        <v>201</v>
      </c>
      <c r="D157" s="7" t="s">
        <v>30</v>
      </c>
      <c r="E157" s="7" t="s">
        <v>407</v>
      </c>
      <c r="F157" s="7">
        <v>0</v>
      </c>
      <c r="G157" s="7">
        <v>0</v>
      </c>
      <c r="H157" s="7" t="s">
        <v>188</v>
      </c>
      <c r="I157" s="7">
        <v>1</v>
      </c>
      <c r="J157" s="7">
        <v>1</v>
      </c>
      <c r="K157" s="7">
        <f t="shared" si="72"/>
        <v>-1</v>
      </c>
      <c r="L157" s="7">
        <f t="shared" si="69"/>
        <v>-1</v>
      </c>
      <c r="M157" s="7">
        <f t="shared" si="69"/>
        <v>-1</v>
      </c>
      <c r="N157" s="7">
        <f t="shared" si="69"/>
        <v>1</v>
      </c>
      <c r="O157" s="7">
        <f t="shared" si="69"/>
        <v>-1</v>
      </c>
      <c r="Q157" s="7" t="str">
        <f t="shared" si="112"/>
        <v>ScenarioCLast3</v>
      </c>
      <c r="AY157" s="7">
        <f t="shared" ref="AY157" si="119">IF(LEN(B157)&gt;30,1,0)</f>
        <v>0</v>
      </c>
      <c r="BG157" s="7">
        <v>1</v>
      </c>
    </row>
    <row r="158" spans="1:59" s="7" customFormat="1">
      <c r="A158" s="17">
        <v>0</v>
      </c>
      <c r="B158" s="7" t="s">
        <v>271</v>
      </c>
      <c r="C158" s="7" t="s">
        <v>201</v>
      </c>
      <c r="D158" s="7" t="s">
        <v>30</v>
      </c>
      <c r="E158" s="7" t="s">
        <v>270</v>
      </c>
      <c r="F158" s="7">
        <v>1</v>
      </c>
      <c r="G158" s="7">
        <v>1</v>
      </c>
      <c r="H158" s="7" t="s">
        <v>188</v>
      </c>
      <c r="I158" s="7">
        <v>1</v>
      </c>
      <c r="J158" s="7">
        <v>1</v>
      </c>
      <c r="K158" s="7">
        <f t="shared" si="72"/>
        <v>-1</v>
      </c>
      <c r="L158" s="7">
        <f t="shared" si="69"/>
        <v>-1</v>
      </c>
      <c r="M158" s="7">
        <f t="shared" si="69"/>
        <v>-1</v>
      </c>
      <c r="N158" s="7">
        <f t="shared" si="69"/>
        <v>1</v>
      </c>
      <c r="O158" s="7">
        <f t="shared" si="69"/>
        <v>-1</v>
      </c>
      <c r="Q158" s="7" t="str">
        <f t="shared" si="112"/>
        <v>NoPAMS_Fnuc-LEAF</v>
      </c>
      <c r="AY158" s="7">
        <f t="shared" si="88"/>
        <v>0</v>
      </c>
      <c r="BB158" s="7">
        <v>1</v>
      </c>
    </row>
    <row r="159" spans="1:59" s="7" customFormat="1">
      <c r="A159" s="17">
        <v>0</v>
      </c>
      <c r="B159" s="7" t="s">
        <v>272</v>
      </c>
      <c r="C159" s="7" t="s">
        <v>201</v>
      </c>
      <c r="D159" s="7" t="s">
        <v>31</v>
      </c>
      <c r="E159" s="7" t="s">
        <v>270</v>
      </c>
      <c r="F159" s="7">
        <v>1</v>
      </c>
      <c r="G159" s="7">
        <v>1</v>
      </c>
      <c r="H159" s="7" t="s">
        <v>188</v>
      </c>
      <c r="I159" s="7">
        <v>1</v>
      </c>
      <c r="J159" s="7">
        <v>1</v>
      </c>
      <c r="K159" s="7">
        <f t="shared" si="72"/>
        <v>-1</v>
      </c>
      <c r="L159" s="7">
        <f t="shared" si="72"/>
        <v>-1</v>
      </c>
      <c r="M159" s="7">
        <f t="shared" si="72"/>
        <v>-1</v>
      </c>
      <c r="N159" s="7">
        <f t="shared" si="72"/>
        <v>1</v>
      </c>
      <c r="O159" s="7">
        <f t="shared" si="72"/>
        <v>-1</v>
      </c>
      <c r="Q159" s="7" t="str">
        <f t="shared" ref="Q159" si="120">B159</f>
        <v>NoPAMS_Fnuc-LEAF-TrGr</v>
      </c>
      <c r="AY159" s="7">
        <f t="shared" si="88"/>
        <v>0</v>
      </c>
      <c r="BB159" s="7">
        <v>1</v>
      </c>
    </row>
    <row r="160" spans="1:59">
      <c r="AY160" s="7">
        <f t="shared" si="88"/>
        <v>0</v>
      </c>
    </row>
    <row r="161" spans="1:1">
      <c r="A161" s="19"/>
    </row>
    <row r="162" spans="1:1">
      <c r="A162" s="19"/>
    </row>
    <row r="163" spans="1:1">
      <c r="A163" s="19"/>
    </row>
    <row r="164" spans="1:1">
      <c r="A164" s="19"/>
    </row>
    <row r="165" spans="1:1">
      <c r="A165" s="19"/>
    </row>
    <row r="166" spans="1:1">
      <c r="A166" s="19"/>
    </row>
    <row r="167" spans="1:1">
      <c r="A167" s="19"/>
    </row>
    <row r="168" spans="1:1">
      <c r="A168" s="19"/>
    </row>
    <row r="169" spans="1:1">
      <c r="A169" s="19"/>
    </row>
    <row r="170" spans="1:1">
      <c r="A170" s="19"/>
    </row>
    <row r="171" spans="1:1">
      <c r="A171" s="19"/>
    </row>
    <row r="172" spans="1:1">
      <c r="A172" s="19"/>
    </row>
    <row r="173" spans="1:1">
      <c r="A173" s="19"/>
    </row>
    <row r="174" spans="1:1">
      <c r="A174" s="19"/>
    </row>
  </sheetData>
  <autoFilter ref="A7:BF160" xr:uid="{CE354B85-33A5-4362-B972-29CF2C778B22}"/>
  <mergeCells count="1">
    <mergeCell ref="R6:AE6"/>
  </mergeCells>
  <phoneticPr fontId="34" type="noConversion"/>
  <conditionalFormatting sqref="A160:A1048576 A1:A7">
    <cfRule type="iconSet" priority="509">
      <iconSet>
        <cfvo type="percent" val="0"/>
        <cfvo type="percent" val="33"/>
        <cfvo type="percent" val="67"/>
      </iconSet>
    </cfRule>
  </conditionalFormatting>
  <conditionalFormatting sqref="A136:A159 A8:A134">
    <cfRule type="iconSet" priority="12">
      <iconSet>
        <cfvo type="percent" val="0"/>
        <cfvo type="percent" val="33"/>
        <cfvo type="percent" val="67"/>
      </iconSet>
    </cfRule>
  </conditionalFormatting>
  <conditionalFormatting sqref="A151">
    <cfRule type="iconSet" priority="11">
      <iconSet>
        <cfvo type="percent" val="0"/>
        <cfvo type="percent" val="33"/>
        <cfvo type="percent" val="67"/>
      </iconSet>
    </cfRule>
  </conditionalFormatting>
  <conditionalFormatting sqref="A8:A134">
    <cfRule type="iconSet" priority="10">
      <iconSet>
        <cfvo type="percent" val="0"/>
        <cfvo type="percent" val="33"/>
        <cfvo type="percent" val="67"/>
      </iconSet>
    </cfRule>
  </conditionalFormatting>
  <conditionalFormatting sqref="A135">
    <cfRule type="iconSet" priority="9">
      <iconSet>
        <cfvo type="percent" val="0"/>
        <cfvo type="percent" val="33"/>
        <cfvo type="percent" val="67"/>
      </iconSet>
    </cfRule>
  </conditionalFormatting>
  <conditionalFormatting sqref="A135">
    <cfRule type="iconSet" priority="8">
      <iconSet>
        <cfvo type="percent" val="0"/>
        <cfvo type="percent" val="33"/>
        <cfvo type="percent" val="67"/>
      </iconSet>
    </cfRule>
  </conditionalFormatting>
  <conditionalFormatting sqref="A8:A159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8:H159" xr:uid="{C7F791C3-9C22-47AF-8553-EAAA1EA46CB9}">
      <formula1>$J$1:$J$4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D8:D159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1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 s="7" customFormat="1">
      <c r="C1" s="2" t="s">
        <v>111</v>
      </c>
      <c r="D1" s="2" t="s">
        <v>106</v>
      </c>
    </row>
    <row r="2" spans="3:8" s="7" customFormat="1">
      <c r="C2" s="2" t="s">
        <v>108</v>
      </c>
    </row>
    <row r="3" spans="3:8" s="7" customFormat="1">
      <c r="C3" s="7" t="s">
        <v>110</v>
      </c>
      <c r="D3" s="7" t="s">
        <v>107</v>
      </c>
    </row>
    <row r="4" spans="3:8" s="7" customFormat="1">
      <c r="C4" s="7" t="s">
        <v>109</v>
      </c>
      <c r="D4" s="7" t="s">
        <v>107</v>
      </c>
      <c r="H4" s="2" t="s">
        <v>116</v>
      </c>
    </row>
    <row r="5" spans="3:8" s="7" customFormat="1">
      <c r="C5" s="7" t="s">
        <v>112</v>
      </c>
      <c r="D5" s="7" t="s">
        <v>107</v>
      </c>
      <c r="H5" t="s">
        <v>117</v>
      </c>
    </row>
    <row r="6" spans="3:8" s="7" customFormat="1">
      <c r="C6" s="7" t="s">
        <v>114</v>
      </c>
      <c r="D6" s="7" t="s">
        <v>107</v>
      </c>
      <c r="H6" t="s">
        <v>118</v>
      </c>
    </row>
    <row r="7" spans="3:8" s="7" customFormat="1">
      <c r="G7" s="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s="7" t="s">
        <v>168</v>
      </c>
      <c r="H18" t="s">
        <v>128</v>
      </c>
    </row>
    <row r="19" spans="3:8">
      <c r="C19" t="s">
        <v>93</v>
      </c>
      <c r="G19" s="7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5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 s="7" customFormat="1">
      <c r="C32" s="7" t="s">
        <v>102</v>
      </c>
      <c r="D32" s="7" t="s">
        <v>107</v>
      </c>
      <c r="H32"/>
    </row>
    <row r="33" spans="3:8" s="7" customFormat="1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s="7" t="s">
        <v>88</v>
      </c>
      <c r="H51" s="2" t="s">
        <v>150</v>
      </c>
    </row>
    <row r="52" spans="3:8">
      <c r="C52" s="7" t="s">
        <v>83</v>
      </c>
      <c r="D52" t="s">
        <v>107</v>
      </c>
      <c r="H52" t="s">
        <v>151</v>
      </c>
    </row>
    <row r="53" spans="3:8">
      <c r="C53" s="7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s="7" t="s">
        <v>89</v>
      </c>
      <c r="G57" t="s">
        <v>166</v>
      </c>
      <c r="H57" t="s">
        <v>154</v>
      </c>
    </row>
    <row r="58" spans="3:8">
      <c r="C58" s="7" t="s">
        <v>83</v>
      </c>
      <c r="D58" t="s">
        <v>107</v>
      </c>
    </row>
    <row r="59" spans="3:8">
      <c r="C59" s="7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2021-06-23T20:10:02Z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