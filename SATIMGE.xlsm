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F6336F99-4805-426F-AC0A-2D461455F42A}" xr6:coauthVersionLast="47" xr6:coauthVersionMax="47" xr10:uidLastSave="{00000000-0000-0000-0000-000000000000}"/>
  <bookViews>
    <workbookView xWindow="0" yWindow="1275" windowWidth="28800" windowHeight="1432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Scenarios!$A$9:$BH$78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11" r:id="rId9"/>
    <pivotCache cacheId="41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0" i="33" l="1"/>
  <c r="P31" i="33"/>
  <c r="P29" i="33"/>
  <c r="P24" i="33" l="1"/>
  <c r="P28" i="33"/>
  <c r="P40" i="33" l="1"/>
  <c r="P34" i="33"/>
  <c r="P37" i="33"/>
  <c r="P41" i="33"/>
  <c r="P38" i="33"/>
  <c r="P42" i="33"/>
  <c r="P43" i="33"/>
  <c r="P36" i="33"/>
  <c r="P39" i="33"/>
  <c r="P32" i="33"/>
  <c r="P33" i="33"/>
  <c r="P35" i="33"/>
  <c r="C20" i="4"/>
  <c r="C18" i="4" l="1"/>
  <c r="A6" i="33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tc={80B76C32-5065-445C-B4CA-949AF3C466AE}</author>
    <author>tc={98C7D9E0-C6BE-4384-B3AA-9CA99F4E582B}</author>
    <author>tc={09AECD53-5E0F-4AAD-86D9-0A176D1BEB4C}</author>
    <author>tc={14217D9C-4C98-42E8-9154-1DE48726E6DE}</author>
    <author>tc={48E9DF9A-ED6F-4DF5-9406-F8FFC6A4B97D}</author>
    <author>tc={3030EE55-B023-42FF-A191-16EBF89BEDDE}</author>
    <author>tc={B2511B61-57CB-4E81-9B16-52A13B1ABEFF}</author>
    <author>tc={6343944A-E3D5-4496-BF18-EBD1BC4F5CAC}</author>
    <author>tc={38219EC3-6C01-4CC7-B6BB-BD14FC02242F}</author>
    <author>tc={B59D7152-2B8B-435B-9288-869C38C6B3F3}</author>
    <author>tc={9E9FD66B-1EF7-40D4-872D-C3A0917C0996}</author>
    <author>tc={5D4A4CE3-9A38-4FC5-BABE-28A69A594082}</author>
    <author>tc={414D40C1-0D2E-41D8-93E5-5BE4A285833E}</author>
    <author>tc={503D119A-10C5-4799-918A-A85269605B54}</author>
    <author>tc={E9AA98ED-0B79-47A0-A201-09BA9864B196}</author>
    <author>tc={CB361375-FD00-4AB1-84F9-308845CDFF69}</author>
    <author>tc={1015EB20-23FF-4DF0-A690-BD731E2A2C63}</author>
    <author>tc={444DFD12-619A-471D-8CA9-B03C5D37F34D}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14217D9C-4C98-42E8-9154-1DE48726E6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48E9DF9A-ED6F-4DF5-9406-F8FFC6A4B97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3030EE55-B023-42FF-A191-16EBF89BED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B2511B61-57CB-4E81-9B16-52A13B1ABEF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6343944A-E3D5-4496-BF18-EBD1BC4F5C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38219EC3-6C01-4CC7-B6BB-BD14FC02242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B59D7152-2B8B-435B-9288-869C38C6B3F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9E9FD66B-1EF7-40D4-872D-C3A0917C09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5D4A4CE3-9A38-4FC5-BABE-28A69A59408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414D40C1-0D2E-41D8-93E5-5BE4A285833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503D119A-10C5-4799-918A-A85269605B5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E9AA98ED-0B79-47A0-A201-09BA9864B1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CB361375-FD00-4AB1-84F9-308845CDFF6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1015EB20-23FF-4DF0-A690-BD731E2A2C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444DFD12-619A-471D-8CA9-B03C5D37F3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6" authorId="37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7" authorId="38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8" authorId="39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<sst xmlns="http://schemas.openxmlformats.org/spreadsheetml/2006/main" count="921" uniqueCount="291">
  <si>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</si>
  <si>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</si>
  <si>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</si>
  <si>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</si>
  <si>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</si>
  <si>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</si>
  <si>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</si>
  <si>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</si>
  <si>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</si>
  <si>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</si>
  <si>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</si>
  <si>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</si>
  <si>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</si>
  <si>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</si>
  <si>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</si>
  <si>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</si>
  <si>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</si>
  <si>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</si>
  <si>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</si>
  <si>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</si>
  <si>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</si>
  <si>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</si>
  <si>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</si>
  <si>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</si>
  <si>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</si>
  <si>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</si>
  <si>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</si>
  <si>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</si>
  <si>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</si>
  <si>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</si>
  <si>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</si>
  <si>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</si>
  <si>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</si>
  <si>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</si>
  <si>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</si>
  <si>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</si>
  <si>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</si>
  <si>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</si>
  <si>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</si>
  <si>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</si>
  <si>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</si>
  <si>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</si>
  <si>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</si>
  <si>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</si>
  <si>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</si>
  <si>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</si>
  <si>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</si>
  <si>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</si>
  <si>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</si>
  <si>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</si>
  <si>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</si>
  <si>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</si>
  <si>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</si>
  <si>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</si>
  <si>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</si>
  <si>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</si>
  <si>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</si>
  <si>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</si>
  <si>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</si>
  <si>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</si>
  <si>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</si>
  <si>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</si>
  <si>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</si>
  <si>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</si>
  <si>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</si>
  <si>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</si>
  <si>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</si>
  <si>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</si>
  <si>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</si>
  <si>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</si>
  <si>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</si>
  <si>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</si>
  <si>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</si>
  <si>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</si>
  <si>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</si>
  <si>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</si>
  <si>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</si>
  <si>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</si>
  <si>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</si>
  <si>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</si>
  <si>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</si>
  <si>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</si>
  <si>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</si>
  <si>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</si>
  <si>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</si>
  <si>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</si>
  <si>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</si>
  <si>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</si>
  <si>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</si>
  <si>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</si>
  <si>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</si>
  <si>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</si>
  <si>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</si>
  <si>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</si>
  <si>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</si>
  <si>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</si>
  <si>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</si>
  <si>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</si>
  <si>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</si>
  <si>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</si>
  <si>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</si>
  <si>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</si>
  <si>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</si>
  <si>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</si>
  <si>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</si>
  <si>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</si>
  <si>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</si>
  <si>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</si>
  <si>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</si>
  <si>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</si>
  <si>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</si>
  <si>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</si>
  <si>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</si>
  <si>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</si>
  <si>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</si>
  <si>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</si>
  <si>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</si>
  <si>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</si>
  <si>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</si>
  <si>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</si>
  <si>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</si>
  <si>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</si>
  <si>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</si>
  <si>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</si>
  <si>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</si>
  <si>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</si>
  <si>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</si>
  <si>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</si>
  <si>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</si>
  <si>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</si>
  <si>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</si>
  <si>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</si>
  <si>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</si>
  <si>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</si>
  <si>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</si>
  <si>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</si>
  <si>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</si>
  <si>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</si>
  <si>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</si>
  <si>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</si>
  <si>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</si>
  <si>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</si>
  <si>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</si>
  <si>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</si>
  <si>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</si>
  <si>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</si>
  <si>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</si>
  <si>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</si>
  <si>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</si>
  <si>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</si>
  <si>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</si>
  <si>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</si>
  <si>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</si>
  <si>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</si>
  <si>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</si>
  <si>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</si>
  <si>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</si>
  <si>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</si>
  <si>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</si>
  <si>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</si>
  <si>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</si>
  <si>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</si>
  <si>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</si>
  <si>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</si>
  <si>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</si>
  <si>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</si>
  <si>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</si>
  <si>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</si>
  <si>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</si>
  <si>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</si>
  <si>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</si>
  <si>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</si>
  <si>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</si>
  <si>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</si>
  <si>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</si>
  <si>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</si>
  <si>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</si>
  <si>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</si>
  <si>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</si>
  <si>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</si>
  <si>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</si>
  <si>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</si>
  <si>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</si>
  <si>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</si>
  <si>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</si>
  <si>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</si>
  <si>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</si>
  <si>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</si>
  <si>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</si>
  <si>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</si>
  <si>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</si>
  <si>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</si>
  <si>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</si>
  <si>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</si>
  <si>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</si>
  <si>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</si>
  <si>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</si>
  <si>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</si>
  <si>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</si>
  <si>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</si>
  <si>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</si>
  <si>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</si>
  <si>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</si>
  <si>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</si>
  <si>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</si>
  <si>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</si>
  <si>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</si>
  <si>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</si>
  <si>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</si>
  <si>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</si>
  <si>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</si>
  <si>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</si>
  <si>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</si>
  <si>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</si>
  <si>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</si>
  <si>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</si>
  <si>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</si>
  <si>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</si>
  <si>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</si>
  <si>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</si>
  <si>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</si>
  <si>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</si>
  <si>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</si>
  <si>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</si>
  <si>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</si>
  <si>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</si>
  <si>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</si>
  <si>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</si>
  <si>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</si>
  <si>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</si>
  <si>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</si>
  <si>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</si>
  <si>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</si>
  <si>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</si>
  <si>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</si>
  <si>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</si>
  <si>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</si>
  <si>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</si>
  <si>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</si>
  <si>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</si>
  <si>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</si>
  <si>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</si>
  <si>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</si>
  <si>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</si>
  <si>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</si>
  <si>
    <t>SATIM Active</t>
  </si>
  <si>
    <t>TTIMES</t>
  </si>
  <si>
    <t>0RG_NZ10_9</t>
  </si>
  <si>
    <t>NZ-10NE</t>
  </si>
  <si>
    <t>0RG_NZ10_PAM_9_WE</t>
  </si>
  <si>
    <t>NZ-10IPWE</t>
  </si>
  <si>
    <t>0RG_NZ10_8</t>
  </si>
  <si>
    <t>0RG_NZ10_PAM_8_WE</t>
  </si>
  <si>
    <t>0RG_9</t>
  </si>
  <si>
    <t>0RG_PT_9</t>
  </si>
  <si>
    <t>0RG_IRP_GI_PAM_9</t>
  </si>
  <si>
    <t>0RG_8</t>
  </si>
  <si>
    <t>0RG_PT_8</t>
  </si>
  <si>
    <t>0RG_350_8</t>
  </si>
  <si>
    <t>0RG_PT_350_8</t>
  </si>
  <si>
    <t>0RG_S0_8</t>
  </si>
  <si>
    <t>0RG_PT_S0_8</t>
  </si>
  <si>
    <t>0RG_IRP_8</t>
  </si>
  <si>
    <t>0RG_PT_IRP_8</t>
  </si>
  <si>
    <t>0RG_350_IRP_GI_8</t>
  </si>
  <si>
    <t>0RG_PT_350_IRP_GI_8</t>
  </si>
  <si>
    <t>0RG_350_IRP_PAM_8</t>
  </si>
  <si>
    <t>NZ</t>
  </si>
  <si>
    <t>NZPT</t>
  </si>
  <si>
    <t>NZIRGIIP</t>
  </si>
  <si>
    <t>NZ35</t>
  </si>
  <si>
    <t>NZPT35</t>
  </si>
  <si>
    <t>NZS3</t>
  </si>
  <si>
    <t>NZPTS3</t>
  </si>
  <si>
    <t>NZIR</t>
  </si>
  <si>
    <t>NZPTIR</t>
  </si>
  <si>
    <t>NZ35IRGI</t>
  </si>
  <si>
    <t>NZPT35IRGI</t>
  </si>
  <si>
    <t>NZ35IRIP</t>
  </si>
  <si>
    <t>NZ35IRGIIP</t>
  </si>
  <si>
    <t>NZIRIP</t>
  </si>
  <si>
    <t>0RG_350_IRP_GI_PAM_8</t>
  </si>
  <si>
    <t>0RG_IRP_PAM_9</t>
  </si>
  <si>
    <t>0RG_350_9</t>
  </si>
  <si>
    <t>0RG_IRP_9</t>
  </si>
  <si>
    <t>0RG_NZ10_PAM_9</t>
  </si>
  <si>
    <t>NZ-10IP</t>
  </si>
  <si>
    <t>0RG_NZ10_9_WE</t>
  </si>
  <si>
    <t>NZ-10WE</t>
  </si>
  <si>
    <t>CCDR9GtonWEJuly3iter</t>
  </si>
  <si>
    <t>CCDR9GtonJuly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</si>
</sst>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62.567897685185" createdVersion="6" refreshedVersion="8" minRefreshableVersion="3" recordCount="84" xr:uid="{D229C3DF-142A-4D15-BB2C-2EA205AB0203}">
  <cacheSource type="worksheet">
    <worksheetSource ref="A9:P12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9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T_9"/>
        <s v="0RG_IRP_GI_PAM_9"/>
        <s v="0RG_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62.56789791667" createdVersion="6" refreshedVersion="8" minRefreshableVersion="3" recordCount="84" xr:uid="{C0EB43E8-6CC6-4DE4-B7F1-02B09F7BA69A}">
  <cacheSource type="worksheet">
    <worksheetSource ref="A9:P126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9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T_9"/>
        <s v="0RG_IRP_GI_PAM_9"/>
        <s v="0RG_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53">
        <s v="NOPAMSREF"/>
        <s v="NOPAMSWE"/>
        <s v="NZ-20WE-T"/>
        <s v="NZ-20WE"/>
        <s v="NZ-20NENH"/>
        <s v="NZ-20WENH"/>
        <s v="NZ-20NE"/>
        <s v="CP20NEWH"/>
        <s v="NZ-10NE"/>
        <s v="NZ-10IP"/>
        <s v="NZ-10WE"/>
        <s v="NZ-10IPWE"/>
        <s v="NZ"/>
        <s v="NZPT"/>
        <s v="NZIRGIIP"/>
        <s v="NZ35"/>
        <s v="NZPT35"/>
        <s v="NZS3"/>
        <s v="NZPTS3"/>
        <s v="NZIR"/>
        <s v="NZPTIR"/>
        <s v="NZ35IRGI"/>
        <s v="NZPT35IRGI"/>
        <s v="NZ35IRIP"/>
        <s v="NZ35IRGIIP"/>
        <s v="NZIRIP"/>
        <m/>
        <s v="LPAMSFC" u="1"/>
        <s v="NZ-20NELD" u="1"/>
        <s v="CPAMSREPROGHG" u="1"/>
        <s v="NZ-CO2S_20" u="1"/>
        <s v="NOPAMSFGDA" u="1"/>
        <s v="NZ-45NE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Z-45WE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1"/>
    <x v="13"/>
    <s v="CCDR9GtonJuly"/>
    <s v="base"/>
    <s v="NZ-10NE"/>
    <n v="1"/>
    <n v="1"/>
    <m/>
    <n v="1"/>
    <n v="1"/>
    <n v="-1"/>
    <n v="-1"/>
    <n v="-1"/>
    <n v="1"/>
    <n v="-1"/>
    <n v="7.000327102810413"/>
  </r>
  <r>
    <n v="0"/>
    <x v="14"/>
    <s v="yes tested"/>
    <s v="base"/>
    <s v="NZ-10NE"/>
    <n v="1"/>
    <n v="1"/>
    <m/>
    <n v="1"/>
    <n v="1"/>
    <n v="-1"/>
    <n v="-1"/>
    <n v="-1"/>
    <n v="1"/>
    <n v="-1"/>
    <n v="6.000327102810413"/>
  </r>
  <r>
    <n v="0"/>
    <x v="15"/>
    <s v="yes tested"/>
    <s v="base"/>
    <s v="NZ-10IP"/>
    <n v="1"/>
    <n v="1"/>
    <m/>
    <n v="1"/>
    <n v="1"/>
    <n v="-1"/>
    <n v="1"/>
    <n v="1"/>
    <n v="1"/>
    <n v="-1"/>
    <n v="7.000327102810413"/>
  </r>
  <r>
    <n v="0"/>
    <x v="16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7"/>
    <s v="yes tested"/>
    <s v="base"/>
    <s v="NZ-10IPWE"/>
    <n v="1"/>
    <n v="1"/>
    <m/>
    <n v="1"/>
    <n v="1"/>
    <n v="-1"/>
    <n v="1"/>
    <n v="1"/>
    <n v="1"/>
    <n v="-1"/>
    <n v="7.000327102810413"/>
  </r>
  <r>
    <n v="0"/>
    <x v="18"/>
    <s v="yes tested"/>
    <s v="base"/>
    <s v="NZ-10IPWE"/>
    <n v="1"/>
    <n v="1"/>
    <m/>
    <n v="1"/>
    <n v="1"/>
    <n v="-1"/>
    <n v="1"/>
    <n v="1"/>
    <n v="1"/>
    <n v="-1"/>
    <n v="6.000327102810413"/>
  </r>
  <r>
    <n v="0"/>
    <x v="19"/>
    <m/>
    <s v="base"/>
    <s v="NZ"/>
    <n v="1"/>
    <n v="0"/>
    <m/>
    <n v="1"/>
    <n v="1"/>
    <n v="-1"/>
    <n v="-1"/>
    <n v="-1"/>
    <n v="1"/>
    <n v="-1"/>
    <n v="7.000327102810413"/>
  </r>
  <r>
    <n v="0"/>
    <x v="20"/>
    <m/>
    <s v="base"/>
    <s v="NZPT"/>
    <n v="1"/>
    <n v="0"/>
    <m/>
    <n v="1"/>
    <n v="1"/>
    <n v="-1"/>
    <n v="-1"/>
    <n v="-1"/>
    <n v="1"/>
    <n v="-1"/>
    <n v="7.000327102810413"/>
  </r>
  <r>
    <n v="0"/>
    <x v="21"/>
    <m/>
    <s v="base"/>
    <s v="NZIRGIIP"/>
    <n v="1"/>
    <n v="0"/>
    <m/>
    <n v="1"/>
    <n v="1"/>
    <n v="-1"/>
    <n v="1"/>
    <n v="1"/>
    <n v="1"/>
    <n v="-1"/>
    <n v="7.000327102810413"/>
  </r>
  <r>
    <n v="0"/>
    <x v="22"/>
    <m/>
    <s v="base"/>
    <s v="NZ"/>
    <n v="1"/>
    <n v="0"/>
    <m/>
    <n v="1"/>
    <n v="1"/>
    <n v="-1"/>
    <n v="-1"/>
    <n v="-1"/>
    <n v="1"/>
    <n v="-1"/>
    <n v="6.000327102810413"/>
  </r>
  <r>
    <n v="0"/>
    <x v="23"/>
    <m/>
    <s v="base"/>
    <s v="NZPT"/>
    <n v="1"/>
    <n v="0"/>
    <m/>
    <n v="1"/>
    <n v="1"/>
    <n v="-1"/>
    <n v="-1"/>
    <n v="-1"/>
    <n v="1"/>
    <n v="-1"/>
    <n v="6.000327102810413"/>
  </r>
  <r>
    <n v="0"/>
    <x v="24"/>
    <m/>
    <s v="base"/>
    <s v="NZ35"/>
    <n v="1"/>
    <n v="0"/>
    <m/>
    <n v="1"/>
    <n v="1"/>
    <n v="-1"/>
    <n v="-1"/>
    <n v="-1"/>
    <n v="1"/>
    <n v="-1"/>
    <n v="6.000327102810413"/>
  </r>
  <r>
    <n v="0"/>
    <x v="25"/>
    <m/>
    <s v="base"/>
    <s v="NZPT35"/>
    <n v="1"/>
    <n v="0"/>
    <m/>
    <n v="1"/>
    <n v="1"/>
    <n v="-1"/>
    <n v="-1"/>
    <n v="-1"/>
    <n v="1"/>
    <n v="-1"/>
    <n v="6.000327102810413"/>
  </r>
  <r>
    <n v="0"/>
    <x v="26"/>
    <m/>
    <s v="base"/>
    <s v="NZS3"/>
    <n v="1"/>
    <n v="0"/>
    <m/>
    <n v="1"/>
    <n v="1"/>
    <n v="-1"/>
    <n v="-1"/>
    <n v="-1"/>
    <n v="1"/>
    <n v="-1"/>
    <n v="6.000327102810413"/>
  </r>
  <r>
    <n v="0"/>
    <x v="27"/>
    <m/>
    <s v="base"/>
    <s v="NZPTS3"/>
    <n v="1"/>
    <n v="0"/>
    <m/>
    <n v="1"/>
    <n v="1"/>
    <n v="-1"/>
    <n v="-1"/>
    <n v="-1"/>
    <n v="1"/>
    <n v="-1"/>
    <n v="6.000327102810413"/>
  </r>
  <r>
    <n v="0"/>
    <x v="28"/>
    <m/>
    <s v="base"/>
    <s v="NZIR"/>
    <n v="1"/>
    <n v="0"/>
    <m/>
    <n v="1"/>
    <n v="1"/>
    <n v="-1"/>
    <n v="-1"/>
    <n v="-1"/>
    <n v="1"/>
    <n v="-1"/>
    <n v="6.000327102810413"/>
  </r>
  <r>
    <n v="0"/>
    <x v="29"/>
    <m/>
    <s v="base"/>
    <s v="NZPTIR"/>
    <n v="1"/>
    <n v="0"/>
    <m/>
    <n v="1"/>
    <n v="1"/>
    <n v="-1"/>
    <n v="-1"/>
    <n v="-1"/>
    <n v="1"/>
    <n v="-1"/>
    <n v="6.000327102810413"/>
  </r>
  <r>
    <n v="0"/>
    <x v="30"/>
    <m/>
    <s v="base"/>
    <s v="NZ35IRGI"/>
    <n v="1"/>
    <n v="0"/>
    <m/>
    <n v="1"/>
    <n v="1"/>
    <n v="-1"/>
    <n v="-1"/>
    <n v="-1"/>
    <n v="1"/>
    <n v="-1"/>
    <n v="6.000327102810413"/>
  </r>
  <r>
    <n v="0"/>
    <x v="31"/>
    <m/>
    <s v="base"/>
    <s v="NZPT35IRGI"/>
    <n v="1"/>
    <n v="0"/>
    <m/>
    <n v="1"/>
    <n v="1"/>
    <n v="-1"/>
    <n v="-1"/>
    <n v="-1"/>
    <n v="1"/>
    <n v="-1"/>
    <n v="6.000327102810413"/>
  </r>
  <r>
    <n v="0"/>
    <x v="32"/>
    <m/>
    <s v="base"/>
    <s v="NZ35IRIP"/>
    <n v="1"/>
    <n v="0"/>
    <m/>
    <n v="1"/>
    <n v="1"/>
    <n v="-1"/>
    <n v="1"/>
    <n v="1"/>
    <n v="1"/>
    <n v="-1"/>
    <n v="6.000327102810413"/>
  </r>
  <r>
    <n v="0"/>
    <x v="33"/>
    <m/>
    <s v="base"/>
    <s v="NZ35IRGIIP"/>
    <n v="1"/>
    <n v="0"/>
    <m/>
    <n v="1"/>
    <n v="1"/>
    <n v="-1"/>
    <n v="1"/>
    <n v="1"/>
    <n v="1"/>
    <n v="-1"/>
    <n v="6.000327102810413"/>
  </r>
  <r>
    <n v="0"/>
    <x v="34"/>
    <m/>
    <s v="base"/>
    <s v="NZIRIP"/>
    <n v="1"/>
    <n v="0"/>
    <m/>
    <n v="1"/>
    <n v="1"/>
    <n v="-1"/>
    <n v="1"/>
    <n v="1"/>
    <n v="1"/>
    <n v="-1"/>
    <n v="7.000327102810413"/>
  </r>
  <r>
    <n v="0"/>
    <x v="35"/>
    <m/>
    <s v="base"/>
    <s v="NZ35"/>
    <n v="1"/>
    <n v="0"/>
    <m/>
    <n v="1"/>
    <n v="1"/>
    <n v="-1"/>
    <n v="1"/>
    <n v="1"/>
    <n v="1"/>
    <n v="-1"/>
    <n v="7.000327102810413"/>
  </r>
  <r>
    <n v="0"/>
    <x v="36"/>
    <m/>
    <s v="base"/>
    <s v="NZIR"/>
    <n v="1"/>
    <n v="0"/>
    <m/>
    <n v="1"/>
    <n v="1"/>
    <n v="-1"/>
    <n v="-1"/>
    <n v="-1"/>
    <n v="1"/>
    <n v="-1"/>
    <n v="7.000327102810413"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3"/>
    <n v="1"/>
    <n v="1"/>
    <s v="NZ_nopams_20afolu"/>
    <n v="1"/>
    <n v="1"/>
    <n v="-1"/>
    <n v="-1"/>
    <n v="-1"/>
    <n v="1"/>
    <n v="4"/>
    <n v="100"/>
  </r>
  <r>
    <n v="1"/>
    <x v="13"/>
    <s v="CCDR9GtonJuly"/>
    <x v="0"/>
    <x v="8"/>
    <n v="1"/>
    <n v="1"/>
    <m/>
    <n v="1"/>
    <n v="1"/>
    <n v="-1"/>
    <n v="-1"/>
    <n v="-1"/>
    <n v="1"/>
    <n v="-1"/>
    <n v="7.000327102810413"/>
  </r>
  <r>
    <n v="0"/>
    <x v="14"/>
    <s v="yes tested"/>
    <x v="0"/>
    <x v="8"/>
    <n v="1"/>
    <n v="1"/>
    <m/>
    <n v="1"/>
    <n v="1"/>
    <n v="-1"/>
    <n v="-1"/>
    <n v="-1"/>
    <n v="1"/>
    <n v="-1"/>
    <n v="6.000327102810413"/>
  </r>
  <r>
    <n v="0"/>
    <x v="15"/>
    <s v="yes tested"/>
    <x v="0"/>
    <x v="9"/>
    <n v="1"/>
    <n v="1"/>
    <m/>
    <n v="1"/>
    <n v="1"/>
    <n v="-1"/>
    <n v="1"/>
    <n v="1"/>
    <n v="1"/>
    <n v="-1"/>
    <n v="7.000327102810413"/>
  </r>
  <r>
    <n v="0"/>
    <x v="16"/>
    <s v="CCDR9GtonWEJuly3iter"/>
    <x v="0"/>
    <x v="10"/>
    <n v="1"/>
    <n v="1"/>
    <m/>
    <n v="1"/>
    <n v="1"/>
    <n v="-1"/>
    <n v="1"/>
    <n v="1"/>
    <n v="1"/>
    <n v="-1"/>
    <n v="7.000327102810413"/>
  </r>
  <r>
    <n v="0"/>
    <x v="17"/>
    <s v="yes tested"/>
    <x v="0"/>
    <x v="11"/>
    <n v="1"/>
    <n v="1"/>
    <m/>
    <n v="1"/>
    <n v="1"/>
    <n v="-1"/>
    <n v="1"/>
    <n v="1"/>
    <n v="1"/>
    <n v="-1"/>
    <n v="7.000327102810413"/>
  </r>
  <r>
    <n v="0"/>
    <x v="18"/>
    <s v="yes tested"/>
    <x v="0"/>
    <x v="11"/>
    <n v="1"/>
    <n v="1"/>
    <m/>
    <n v="1"/>
    <n v="1"/>
    <n v="-1"/>
    <n v="1"/>
    <n v="1"/>
    <n v="1"/>
    <n v="-1"/>
    <n v="6.000327102810413"/>
  </r>
  <r>
    <n v="0"/>
    <x v="19"/>
    <m/>
    <x v="0"/>
    <x v="12"/>
    <n v="1"/>
    <n v="0"/>
    <m/>
    <n v="1"/>
    <n v="1"/>
    <n v="-1"/>
    <n v="-1"/>
    <n v="-1"/>
    <n v="1"/>
    <n v="-1"/>
    <n v="7.000327102810413"/>
  </r>
  <r>
    <n v="0"/>
    <x v="20"/>
    <m/>
    <x v="0"/>
    <x v="13"/>
    <n v="1"/>
    <n v="0"/>
    <m/>
    <n v="1"/>
    <n v="1"/>
    <n v="-1"/>
    <n v="-1"/>
    <n v="-1"/>
    <n v="1"/>
    <n v="-1"/>
    <n v="7.000327102810413"/>
  </r>
  <r>
    <n v="0"/>
    <x v="21"/>
    <m/>
    <x v="0"/>
    <x v="14"/>
    <n v="1"/>
    <n v="0"/>
    <m/>
    <n v="1"/>
    <n v="1"/>
    <n v="-1"/>
    <n v="1"/>
    <n v="1"/>
    <n v="1"/>
    <n v="-1"/>
    <n v="7.000327102810413"/>
  </r>
  <r>
    <n v="0"/>
    <x v="22"/>
    <m/>
    <x v="0"/>
    <x v="12"/>
    <n v="1"/>
    <n v="0"/>
    <m/>
    <n v="1"/>
    <n v="1"/>
    <n v="-1"/>
    <n v="-1"/>
    <n v="-1"/>
    <n v="1"/>
    <n v="-1"/>
    <n v="6.000327102810413"/>
  </r>
  <r>
    <n v="0"/>
    <x v="23"/>
    <m/>
    <x v="0"/>
    <x v="13"/>
    <n v="1"/>
    <n v="0"/>
    <m/>
    <n v="1"/>
    <n v="1"/>
    <n v="-1"/>
    <n v="-1"/>
    <n v="-1"/>
    <n v="1"/>
    <n v="-1"/>
    <n v="6.000327102810413"/>
  </r>
  <r>
    <n v="0"/>
    <x v="24"/>
    <m/>
    <x v="0"/>
    <x v="15"/>
    <n v="1"/>
    <n v="0"/>
    <m/>
    <n v="1"/>
    <n v="1"/>
    <n v="-1"/>
    <n v="-1"/>
    <n v="-1"/>
    <n v="1"/>
    <n v="-1"/>
    <n v="6.000327102810413"/>
  </r>
  <r>
    <n v="0"/>
    <x v="25"/>
    <m/>
    <x v="0"/>
    <x v="16"/>
    <n v="1"/>
    <n v="0"/>
    <m/>
    <n v="1"/>
    <n v="1"/>
    <n v="-1"/>
    <n v="-1"/>
    <n v="-1"/>
    <n v="1"/>
    <n v="-1"/>
    <n v="6.000327102810413"/>
  </r>
  <r>
    <n v="0"/>
    <x v="26"/>
    <m/>
    <x v="0"/>
    <x v="17"/>
    <n v="1"/>
    <n v="0"/>
    <m/>
    <n v="1"/>
    <n v="1"/>
    <n v="-1"/>
    <n v="-1"/>
    <n v="-1"/>
    <n v="1"/>
    <n v="-1"/>
    <n v="6.000327102810413"/>
  </r>
  <r>
    <n v="0"/>
    <x v="27"/>
    <m/>
    <x v="0"/>
    <x v="18"/>
    <n v="1"/>
    <n v="0"/>
    <m/>
    <n v="1"/>
    <n v="1"/>
    <n v="-1"/>
    <n v="-1"/>
    <n v="-1"/>
    <n v="1"/>
    <n v="-1"/>
    <n v="6.000327102810413"/>
  </r>
  <r>
    <n v="0"/>
    <x v="28"/>
    <m/>
    <x v="0"/>
    <x v="19"/>
    <n v="1"/>
    <n v="0"/>
    <m/>
    <n v="1"/>
    <n v="1"/>
    <n v="-1"/>
    <n v="-1"/>
    <n v="-1"/>
    <n v="1"/>
    <n v="-1"/>
    <n v="6.000327102810413"/>
  </r>
  <r>
    <n v="0"/>
    <x v="29"/>
    <m/>
    <x v="0"/>
    <x v="20"/>
    <n v="1"/>
    <n v="0"/>
    <m/>
    <n v="1"/>
    <n v="1"/>
    <n v="-1"/>
    <n v="-1"/>
    <n v="-1"/>
    <n v="1"/>
    <n v="-1"/>
    <n v="6.000327102810413"/>
  </r>
  <r>
    <n v="0"/>
    <x v="30"/>
    <m/>
    <x v="0"/>
    <x v="21"/>
    <n v="1"/>
    <n v="0"/>
    <m/>
    <n v="1"/>
    <n v="1"/>
    <n v="-1"/>
    <n v="-1"/>
    <n v="-1"/>
    <n v="1"/>
    <n v="-1"/>
    <n v="6.000327102810413"/>
  </r>
  <r>
    <n v="0"/>
    <x v="31"/>
    <m/>
    <x v="0"/>
    <x v="22"/>
    <n v="1"/>
    <n v="0"/>
    <m/>
    <n v="1"/>
    <n v="1"/>
    <n v="-1"/>
    <n v="-1"/>
    <n v="-1"/>
    <n v="1"/>
    <n v="-1"/>
    <n v="6.000327102810413"/>
  </r>
  <r>
    <n v="0"/>
    <x v="32"/>
    <m/>
    <x v="0"/>
    <x v="23"/>
    <n v="1"/>
    <n v="0"/>
    <m/>
    <n v="1"/>
    <n v="1"/>
    <n v="-1"/>
    <n v="1"/>
    <n v="1"/>
    <n v="1"/>
    <n v="-1"/>
    <n v="6.000327102810413"/>
  </r>
  <r>
    <n v="0"/>
    <x v="33"/>
    <m/>
    <x v="0"/>
    <x v="24"/>
    <n v="1"/>
    <n v="0"/>
    <m/>
    <n v="1"/>
    <n v="1"/>
    <n v="-1"/>
    <n v="1"/>
    <n v="1"/>
    <n v="1"/>
    <n v="-1"/>
    <n v="6.000327102810413"/>
  </r>
  <r>
    <n v="0"/>
    <x v="34"/>
    <m/>
    <x v="0"/>
    <x v="25"/>
    <n v="1"/>
    <n v="0"/>
    <m/>
    <n v="1"/>
    <n v="1"/>
    <n v="-1"/>
    <n v="1"/>
    <n v="1"/>
    <n v="1"/>
    <n v="-1"/>
    <n v="7.000327102810413"/>
  </r>
  <r>
    <n v="0"/>
    <x v="35"/>
    <m/>
    <x v="0"/>
    <x v="15"/>
    <n v="1"/>
    <n v="0"/>
    <m/>
    <n v="1"/>
    <n v="1"/>
    <n v="-1"/>
    <n v="1"/>
    <n v="1"/>
    <n v="1"/>
    <n v="-1"/>
    <n v="7.000327102810413"/>
  </r>
  <r>
    <n v="0"/>
    <x v="36"/>
    <m/>
    <x v="0"/>
    <x v="19"/>
    <n v="1"/>
    <n v="0"/>
    <m/>
    <n v="1"/>
    <n v="1"/>
    <n v="-1"/>
    <n v="-1"/>
    <n v="-1"/>
    <n v="1"/>
    <n v="-1"/>
    <n v="7.000327102810413"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  <r>
    <m/>
    <x v="37"/>
    <m/>
    <x v="1"/>
    <x v="2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4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3" firstHeaderRow="1" firstDataRow="1" firstDataCol="1"/>
  <pivotFields count="16">
    <pivotField showAll="0"/>
    <pivotField showAll="0"/>
    <pivotField showAll="0"/>
    <pivotField showAll="0"/>
    <pivotField axis="axisRow" showAll="0">
      <items count="154">
        <item m="1" x="100"/>
        <item m="1" x="78"/>
        <item m="1" x="70"/>
        <item x="26"/>
        <item m="1" x="77"/>
        <item m="1" x="42"/>
        <item m="1" x="90"/>
        <item m="1" x="105"/>
        <item m="1" x="73"/>
        <item m="1" x="79"/>
        <item m="1" x="74"/>
        <item m="1" x="59"/>
        <item m="1" x="29"/>
        <item m="1" x="88"/>
        <item m="1" x="27"/>
        <item m="1" x="137"/>
        <item m="1" x="52"/>
        <item m="1" x="121"/>
        <item m="1" x="131"/>
        <item m="1" x="60"/>
        <item m="1" x="54"/>
        <item m="1" x="125"/>
        <item m="1" x="94"/>
        <item m="1" x="95"/>
        <item m="1" x="122"/>
        <item m="1" x="68"/>
        <item m="1" x="118"/>
        <item m="1" x="35"/>
        <item m="1" x="45"/>
        <item m="1" x="149"/>
        <item m="1" x="102"/>
        <item m="1" x="132"/>
        <item m="1" x="81"/>
        <item m="1" x="134"/>
        <item m="1" x="141"/>
        <item m="1" x="86"/>
        <item m="1" x="103"/>
        <item m="1" x="99"/>
        <item m="1" x="130"/>
        <item m="1" x="128"/>
        <item m="1" x="49"/>
        <item m="1" x="144"/>
        <item m="1" x="97"/>
        <item m="1" x="115"/>
        <item m="1" x="127"/>
        <item m="1" x="146"/>
        <item m="1" x="152"/>
        <item m="1" x="83"/>
        <item m="1" x="72"/>
        <item m="1" x="71"/>
        <item m="1" x="106"/>
        <item m="1" x="76"/>
        <item m="1" x="113"/>
        <item m="1" x="43"/>
        <item m="1" x="87"/>
        <item m="1" x="112"/>
        <item m="1" x="129"/>
        <item m="1" x="85"/>
        <item m="1" x="80"/>
        <item m="1" x="39"/>
        <item m="1" x="136"/>
        <item m="1" x="51"/>
        <item m="1" x="64"/>
        <item m="1" x="92"/>
        <item m="1" x="101"/>
        <item m="1" x="65"/>
        <item m="1" x="33"/>
        <item m="1" x="96"/>
        <item m="1" x="104"/>
        <item m="1" x="55"/>
        <item m="1" x="120"/>
        <item m="1" x="133"/>
        <item m="1" x="89"/>
        <item m="1" x="58"/>
        <item m="1" x="66"/>
        <item m="1" x="50"/>
        <item m="1" x="108"/>
        <item m="1" x="31"/>
        <item m="1" x="114"/>
        <item m="1" x="126"/>
        <item m="1" x="142"/>
        <item m="1" x="123"/>
        <item m="1" x="139"/>
        <item m="1" x="150"/>
        <item m="1" x="67"/>
        <item m="1" x="119"/>
        <item m="1" x="148"/>
        <item m="1" x="40"/>
        <item m="1" x="47"/>
        <item m="1" x="69"/>
        <item m="1" x="98"/>
        <item m="1" x="36"/>
        <item m="1" x="38"/>
        <item x="0"/>
        <item m="1" x="30"/>
        <item m="1" x="138"/>
        <item m="1" x="75"/>
        <item m="1" x="135"/>
        <item m="1" x="48"/>
        <item m="1" x="140"/>
        <item m="1" x="111"/>
        <item m="1" x="91"/>
        <item m="1" x="57"/>
        <item m="1" x="110"/>
        <item m="1" x="28"/>
        <item m="1" x="124"/>
        <item x="3"/>
        <item x="6"/>
        <item m="1" x="109"/>
        <item m="1" x="32"/>
        <item m="1" x="44"/>
        <item m="1" x="82"/>
        <item m="1" x="61"/>
        <item m="1" x="53"/>
        <item m="1" x="46"/>
        <item m="1" x="147"/>
        <item m="1" x="151"/>
        <item m="1" x="143"/>
        <item x="1"/>
        <item m="1" x="84"/>
        <item m="1" x="41"/>
        <item m="1" x="34"/>
        <item m="1" x="93"/>
        <item m="1" x="145"/>
        <item x="4"/>
        <item x="5"/>
        <item m="1" x="117"/>
        <item m="1" x="116"/>
        <item m="1" x="37"/>
        <item m="1" x="107"/>
        <item x="7"/>
        <item x="2"/>
        <item x="8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m="1" x="62"/>
        <item m="1" x="56"/>
        <item m="1" x="63"/>
        <item x="24"/>
        <item x="25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7">
    <i>
      <x v="3"/>
    </i>
    <i>
      <x v="93"/>
    </i>
    <i>
      <x v="106"/>
    </i>
    <i>
      <x v="107"/>
    </i>
    <i>
      <x v="118"/>
    </i>
    <i>
      <x v="124"/>
    </i>
    <i>
      <x v="125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9"/>
    </i>
    <i>
      <x v="150"/>
    </i>
    <i>
      <x v="151"/>
    </i>
    <i>
      <x v="15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4" firstHeaderRow="0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9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8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11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4" firstHeaderRow="1" firstDataRow="1" firstDataCol="1"/>
  <pivotFields count="16">
    <pivotField showAll="0"/>
    <pivotField axis="axisRow" showAll="0">
      <items count="40">
        <item m="1" x="38"/>
        <item x="10"/>
        <item x="9"/>
        <item x="0"/>
        <item x="1"/>
        <item x="17"/>
        <item x="13"/>
        <item x="18"/>
        <item x="14"/>
        <item x="4"/>
        <item x="7"/>
        <item x="5"/>
        <item x="8"/>
        <item x="6"/>
        <item x="11"/>
        <item x="12"/>
        <item x="2"/>
        <item x="3"/>
        <item x="3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4" firstHeaderRow="1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44" firstHeaderRow="1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4" firstHeaderRow="1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15"/>
        <item x="1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4" firstHeaderRow="1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9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3">
        <item m="1" x="100"/>
        <item m="1" x="78"/>
        <item m="1" x="70"/>
        <item x="26"/>
        <item m="1" x="77"/>
        <item m="1" x="42"/>
        <item m="1" x="90"/>
        <item m="1" x="105"/>
        <item m="1" x="73"/>
        <item m="1" x="79"/>
        <item m="1" x="74"/>
        <item m="1" x="59"/>
        <item m="1" x="29"/>
        <item m="1" x="88"/>
        <item m="1" x="27"/>
        <item m="1" x="137"/>
        <item m="1" x="52"/>
        <item m="1" x="121"/>
        <item m="1" x="131"/>
        <item m="1" x="60"/>
        <item m="1" x="54"/>
        <item m="1" x="125"/>
        <item m="1" x="94"/>
        <item m="1" x="95"/>
        <item m="1" x="122"/>
        <item m="1" x="68"/>
        <item m="1" x="118"/>
        <item m="1" x="35"/>
        <item m="1" x="45"/>
        <item m="1" x="149"/>
        <item m="1" x="102"/>
        <item m="1" x="132"/>
        <item m="1" x="81"/>
        <item m="1" x="134"/>
        <item m="1" x="141"/>
        <item m="1" x="86"/>
        <item m="1" x="103"/>
        <item m="1" x="99"/>
        <item m="1" x="130"/>
        <item m="1" x="128"/>
        <item m="1" x="49"/>
        <item m="1" x="144"/>
        <item m="1" x="97"/>
        <item m="1" x="115"/>
        <item m="1" x="127"/>
        <item m="1" x="146"/>
        <item m="1" x="152"/>
        <item m="1" x="83"/>
        <item m="1" x="72"/>
        <item m="1" x="71"/>
        <item m="1" x="106"/>
        <item m="1" x="76"/>
        <item m="1" x="113"/>
        <item m="1" x="43"/>
        <item m="1" x="87"/>
        <item m="1" x="112"/>
        <item m="1" x="129"/>
        <item m="1" x="85"/>
        <item m="1" x="80"/>
        <item m="1" x="39"/>
        <item m="1" x="136"/>
        <item m="1" x="51"/>
        <item m="1" x="64"/>
        <item m="1" x="92"/>
        <item m="1" x="101"/>
        <item m="1" x="65"/>
        <item m="1" x="33"/>
        <item m="1" x="96"/>
        <item m="1" x="104"/>
        <item m="1" x="55"/>
        <item m="1" x="120"/>
        <item m="1" x="133"/>
        <item m="1" x="89"/>
        <item m="1" x="58"/>
        <item m="1" x="66"/>
        <item m="1" x="50"/>
        <item m="1" x="108"/>
        <item m="1" x="31"/>
        <item m="1" x="114"/>
        <item m="1" x="126"/>
        <item m="1" x="142"/>
        <item m="1" x="123"/>
        <item m="1" x="139"/>
        <item m="1" x="150"/>
        <item m="1" x="67"/>
        <item m="1" x="119"/>
        <item m="1" x="148"/>
        <item m="1" x="40"/>
        <item m="1" x="47"/>
        <item m="1" x="69"/>
        <item m="1" x="98"/>
        <item m="1" x="36"/>
        <item m="1" x="38"/>
        <item x="0"/>
        <item m="1" x="30"/>
        <item m="1" x="138"/>
        <item m="1" x="75"/>
        <item m="1" x="135"/>
        <item m="1" x="48"/>
        <item m="1" x="140"/>
        <item m="1" x="111"/>
        <item m="1" x="91"/>
        <item m="1" x="57"/>
        <item m="1" x="110"/>
        <item m="1" x="28"/>
        <item m="1" x="124"/>
        <item x="3"/>
        <item x="6"/>
        <item m="1" x="109"/>
        <item m="1" x="32"/>
        <item m="1" x="44"/>
        <item m="1" x="82"/>
        <item m="1" x="61"/>
        <item m="1" x="53"/>
        <item m="1" x="46"/>
        <item m="1" x="147"/>
        <item m="1" x="151"/>
        <item m="1" x="143"/>
        <item x="1"/>
        <item m="1" x="84"/>
        <item m="1" x="41"/>
        <item m="1" x="34"/>
        <item m="1" x="93"/>
        <item m="1" x="145"/>
        <item x="4"/>
        <item x="5"/>
        <item m="1" x="117"/>
        <item m="1" x="116"/>
        <item m="1" x="37"/>
        <item m="1" x="107"/>
        <item x="7"/>
        <item x="2"/>
        <item x="8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m="1" x="62"/>
        <item m="1" x="56"/>
        <item m="1" x="63"/>
        <item x="24"/>
        <item x="25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8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8"/>
    </i>
    <i>
      <x v="7"/>
      <x v="124"/>
    </i>
    <i>
      <x v="8"/>
      <x v="125"/>
    </i>
    <i>
      <x v="9"/>
      <x v="130"/>
    </i>
    <i>
      <x v="10"/>
      <x v="130"/>
    </i>
    <i>
      <x v="11"/>
      <x v="107"/>
    </i>
    <i>
      <x v="12"/>
      <x v="106"/>
    </i>
    <i>
      <x v="13"/>
      <x v="93"/>
    </i>
    <i>
      <x v="14"/>
      <x v="131"/>
    </i>
    <i>
      <x v="15"/>
      <x v="132"/>
    </i>
    <i>
      <x v="16"/>
      <x v="133"/>
    </i>
    <i>
      <x v="17"/>
      <x v="132"/>
    </i>
    <i>
      <x v="18"/>
      <x v="133"/>
    </i>
    <i>
      <x v="19"/>
      <x v="134"/>
    </i>
    <i>
      <x v="20"/>
      <x v="135"/>
    </i>
    <i>
      <x v="21"/>
      <x v="136"/>
    </i>
    <i>
      <x v="22"/>
      <x v="134"/>
    </i>
    <i>
      <x v="23"/>
      <x v="135"/>
    </i>
    <i>
      <x v="24"/>
      <x v="137"/>
    </i>
    <i>
      <x v="25"/>
      <x v="138"/>
    </i>
    <i>
      <x v="26"/>
      <x v="139"/>
    </i>
    <i>
      <x v="27"/>
      <x v="140"/>
    </i>
    <i>
      <x v="28"/>
      <x v="141"/>
    </i>
    <i>
      <x v="29"/>
      <x v="142"/>
    </i>
    <i>
      <x v="30"/>
      <x v="143"/>
    </i>
    <i>
      <x v="31"/>
      <x v="144"/>
    </i>
    <i>
      <x v="32"/>
      <x v="145"/>
    </i>
    <i>
      <x v="33"/>
      <x v="149"/>
    </i>
    <i>
      <x v="34"/>
      <x v="150"/>
    </i>
    <i>
      <x v="35"/>
      <x v="137"/>
    </i>
    <i>
      <x v="36"/>
      <x v="141"/>
    </i>
    <i>
      <x v="37"/>
      <x v="151"/>
    </i>
    <i>
      <x v="38"/>
      <x v="15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4" firstHeaderRow="1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15"/>
        <item x="1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16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4" firstHeaderRow="1" firstDataRow="1" firstDataCol="1"/>
  <pivotFields count="16">
    <pivotField dataField="1"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230F7878-D483-4C16-85B5-F653F61B75CE}">
    <text>Note that there is still a problem running with other cases here - still looking into it.</text>
  </threadedComment>
  <threadedComment ref="D25" dT="2020-08-07T12:32:29.60" personId="{8A307EF1-062C-4DD1-801F-D45833AE4B68}" id="{6F091816-6B7C-4E14-A996-86F6F766500B}">
    <text>Note that there is still a problem running with other cases here - still looking into it.</text>
  </threadedComment>
  <threadedComment ref="D26" dT="2020-08-07T12:32:29.60" personId="{8A307EF1-062C-4DD1-801F-D45833AE4B68}" id="{80B76C32-5065-445C-B4CA-949AF3C466AE}">
    <text>Note that there is still a problem running with other cases here - still looking into it.</text>
  </threadedComment>
  <threadedComment ref="D27" dT="2020-08-07T12:32:29.60" personId="{8A307EF1-062C-4DD1-801F-D45833AE4B68}" id="{98C7D9E0-C6BE-4384-B3AA-9CA99F4E582B}">
    <text>Note that there is still a problem running with other cases here - still looking into it.</text>
  </threadedComment>
  <threadedComment ref="D28" dT="2020-08-07T12:32:29.60" personId="{8A307EF1-062C-4DD1-801F-D45833AE4B68}" id="{09AECD53-5E0F-4AAD-86D9-0A176D1BEB4C}">
    <text>Note that there is still a problem running with other cases here - still looking into it.</text>
  </threadedComment>
  <threadedComment ref="D29" dT="2020-08-07T12:32:29.60" personId="{8A307EF1-062C-4DD1-801F-D45833AE4B68}" id="{14217D9C-4C98-42E8-9154-1DE48726E6DE}">
    <text>Note that there is still a problem running with other cases here - still looking into it.</text>
  </threadedComment>
  <threadedComment ref="D30" dT="2020-08-07T12:32:29.60" personId="{8A307EF1-062C-4DD1-801F-D45833AE4B68}" id="{48E9DF9A-ED6F-4DF5-9406-F8FFC6A4B97D}">
    <text>Note that there is still a problem running with other cases here - still looking into it.</text>
  </threadedComment>
  <threadedComment ref="D31" dT="2020-08-07T12:32:29.60" personId="{8A307EF1-062C-4DD1-801F-D45833AE4B68}" id="{3030EE55-B023-42FF-A191-16EBF89BEDDE}">
    <text>Note that there is still a problem running with other cases here - still looking into it.</text>
  </threadedComment>
  <threadedComment ref="D32" dT="2020-08-07T12:32:29.60" personId="{8A307EF1-062C-4DD1-801F-D45833AE4B68}" id="{B2511B61-57CB-4E81-9B16-52A13B1ABEFF}">
    <text>Note that there is still a problem running with other cases here - still looking into it.</text>
  </threadedComment>
  <threadedComment ref="D33" dT="2020-08-07T12:32:29.60" personId="{8A307EF1-062C-4DD1-801F-D45833AE4B68}" id="{6343944A-E3D5-4496-BF18-EBD1BC4F5CAC}">
    <text>Note that there is still a problem running with other cases here - still looking into it.</text>
  </threadedComment>
  <threadedComment ref="D34" dT="2020-08-07T12:32:29.60" personId="{8A307EF1-062C-4DD1-801F-D45833AE4B68}" id="{38219EC3-6C01-4CC7-B6BB-BD14FC02242F}">
    <text>Note that there is still a problem running with other cases here - still looking into it.</text>
  </threadedComment>
  <threadedComment ref="D35" dT="2020-08-07T12:32:29.60" personId="{8A307EF1-062C-4DD1-801F-D45833AE4B68}" id="{B59D7152-2B8B-435B-9288-869C38C6B3F3}">
    <text>Note that there is still a problem running with other cases here - still looking into it.</text>
  </threadedComment>
  <threadedComment ref="D36" dT="2020-08-07T12:32:29.60" personId="{8A307EF1-062C-4DD1-801F-D45833AE4B68}" id="{9E9FD66B-1EF7-40D4-872D-C3A0917C0996}">
    <text>Note that there is still a problem running with other cases here - still looking into it.</text>
  </threadedComment>
  <threadedComment ref="D37" dT="2020-08-07T12:32:29.60" personId="{8A307EF1-062C-4DD1-801F-D45833AE4B68}" id="{5D4A4CE3-9A38-4FC5-BABE-28A69A594082}">
    <text>Note that there is still a problem running with other cases here - still looking into it.</text>
  </threadedComment>
  <threadedComment ref="D38" dT="2020-08-07T12:32:29.60" personId="{8A307EF1-062C-4DD1-801F-D45833AE4B68}" id="{414D40C1-0D2E-41D8-93E5-5BE4A285833E}">
    <text>Note that there is still a problem running with other cases here - still looking into it.</text>
  </threadedComment>
  <threadedComment ref="D39" dT="2020-08-07T12:32:29.60" personId="{8A307EF1-062C-4DD1-801F-D45833AE4B68}" id="{503D119A-10C5-4799-918A-A85269605B54}">
    <text>Note that there is still a problem running with other cases here - still looking into it.</text>
  </threadedComment>
  <threadedComment ref="D40" dT="2020-08-07T12:32:29.60" personId="{8A307EF1-062C-4DD1-801F-D45833AE4B68}" id="{E9AA98ED-0B79-47A0-A201-09BA9864B196}">
    <text>Note that there is still a problem running with other cases here - still looking into it.</text>
  </threadedComment>
  <threadedComment ref="D41" dT="2020-08-07T12:32:29.60" personId="{8A307EF1-062C-4DD1-801F-D45833AE4B68}" id="{CB361375-FD00-4AB1-84F9-308845CDFF69}">
    <text>Note that there is still a problem running with other cases here - still looking into it.</text>
  </threadedComment>
  <threadedComment ref="D42" dT="2020-08-07T12:32:29.60" personId="{8A307EF1-062C-4DD1-801F-D45833AE4B68}" id="{1015EB20-23FF-4DF0-A690-BD731E2A2C63}">
    <text>Note that there is still a problem running with other cases here - still looking into it.</text>
  </threadedComment>
  <threadedComment ref="D43" dT="2020-08-07T12:32:29.60" personId="{8A307EF1-062C-4DD1-801F-D45833AE4B68}" id="{444DFD12-619A-471D-8CA9-B03C5D37F34D}">
    <text>Note that there is still a problem running with other cases here - still looking into it.</text>
  </threadedComment>
  <threadedComment ref="D44" dT="2020-08-07T12:32:29.60" personId="{8A307EF1-062C-4DD1-801F-D45833AE4B68}" id="{8DC95888-1B09-4C2A-8946-9480A3A0A5C3}">
    <text>Note that there is still a problem running with other cases here - still looking into it.</text>
  </threadedComment>
  <threadedComment ref="D45" dT="2020-08-07T12:32:29.60" personId="{8A307EF1-062C-4DD1-801F-D45833AE4B68}" id="{6DB6B67F-BF22-490F-8851-F4A3280BA24B}">
    <text>Note that there is still a problem running with other cases here - still looking into it.</text>
  </threadedComment>
  <threadedComment ref="D46" dT="2020-08-07T12:32:29.60" personId="{8A307EF1-062C-4DD1-801F-D45833AE4B68}" id="{DD0D03D5-0E45-47B1-BB19-3D43552EF1AF}">
    <text>Note that there is still a problem running with other cases here - still looking into it.</text>
  </threadedComment>
  <threadedComment ref="D47" dT="2020-08-07T12:32:29.60" personId="{8A307EF1-062C-4DD1-801F-D45833AE4B68}" id="{2E057A1D-61F2-468B-8278-F722F83FC647}">
    <text>Note that there is still a problem running with other cases here - still looking into it.</text>
  </threadedComment>
  <threadedComment ref="D78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21" sqref="C21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246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206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A11" workbookViewId="0">
      <selection activeCell="A12" sqref="A12"/>
    </sheetView>
  </sheetViews>
  <sheetFormatPr defaultRowHeight="15"/>
  <cols>
    <col min="1" max="1" width="22.7109375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.7109375" style="7" bestFit="1" customWidth="1"/>
    <col min="6" max="6" width="23" style="7" bestFit="1" customWidth="1"/>
    <col min="7" max="7" width="22.7109375" style="7" bestFit="1" customWidth="1"/>
    <col min="8" max="8" width="19.85546875" style="7" bestFit="1" customWidth="1"/>
    <col min="9" max="9" width="22.7109375" style="7" bestFit="1" customWidth="1"/>
    <col min="10" max="10" width="18.5703125" style="7" bestFit="1" customWidth="1"/>
    <col min="11" max="11" width="22.7109375" style="7" bestFit="1" customWidth="1"/>
    <col min="12" max="12" width="20.7109375" style="7" bestFit="1" customWidth="1"/>
    <col min="13" max="13" width="22.71093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.71093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.71093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245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7" t="s">
        <v>246</v>
      </c>
      <c r="AH6" s="7"/>
    </row>
    <row r="7" spans="1:39">
      <c r="A7" s="13" t="s">
        <v>238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2048</v>
      </c>
      <c r="AF7" s="7">
        <v>2012</v>
      </c>
      <c r="AH7" s="7"/>
      <c r="AI7" s="7"/>
      <c r="AJ7" s="7"/>
      <c r="AM7" t="s">
        <v>14</v>
      </c>
    </row>
    <row r="8" spans="1:39">
      <c r="A8" s="13" t="s">
        <v>239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>
        <f>IF(OR(AE7=2050,AE7=""),"",AE7+1)</f>
        <v>2049</v>
      </c>
      <c r="AF8" s="7">
        <v>2015</v>
      </c>
      <c r="AH8" s="7"/>
      <c r="AI8" s="7"/>
      <c r="AJ8" s="7"/>
      <c r="AM8" s="7" t="s">
        <v>15</v>
      </c>
    </row>
    <row r="9" spans="1:39">
      <c r="A9" s="13" t="s">
        <v>223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0</v>
      </c>
      <c r="I9" s="13" t="s">
        <v>223</v>
      </c>
      <c r="J9" s="3">
        <v>1</v>
      </c>
      <c r="K9" s="13" t="s">
        <v>223</v>
      </c>
      <c r="L9" s="3">
        <v>0</v>
      </c>
      <c r="M9" s="13" t="s">
        <v>223</v>
      </c>
      <c r="N9" s="3">
        <v>0</v>
      </c>
      <c r="O9" s="7" t="s">
        <v>223</v>
      </c>
      <c r="P9" s="7" t="s">
        <v>219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223</v>
      </c>
      <c r="AB9" s="3">
        <v>100</v>
      </c>
      <c r="AC9" s="3"/>
      <c r="AD9" s="14">
        <v>2021</v>
      </c>
      <c r="AE9" s="14">
        <f>IF(OR(AE8=2050,AE8=""),"",AE8+1)</f>
        <v>2050</v>
      </c>
      <c r="AF9" s="7">
        <v>2016</v>
      </c>
      <c r="AH9" s="7"/>
      <c r="AI9" s="7"/>
      <c r="AJ9" s="7"/>
      <c r="AM9" s="7" t="s">
        <v>16</v>
      </c>
    </row>
    <row r="10" spans="1:39">
      <c r="A10" s="13" t="s">
        <v>231</v>
      </c>
      <c r="B10" s="13" t="s">
        <v>222</v>
      </c>
      <c r="C10" s="13" t="s">
        <v>46</v>
      </c>
      <c r="D10"/>
      <c r="E10" s="13" t="s">
        <v>229</v>
      </c>
      <c r="F10" s="3">
        <v>0</v>
      </c>
      <c r="G10" s="13" t="s">
        <v>229</v>
      </c>
      <c r="H10" s="3">
        <v>1</v>
      </c>
      <c r="I10" s="13" t="s">
        <v>229</v>
      </c>
      <c r="J10" s="3">
        <v>1</v>
      </c>
      <c r="K10" s="13" t="s">
        <v>229</v>
      </c>
      <c r="L10" s="3">
        <v>1</v>
      </c>
      <c r="M10" s="13" t="s">
        <v>229</v>
      </c>
      <c r="N10" s="3">
        <v>1</v>
      </c>
      <c r="O10" s="7" t="s">
        <v>229</v>
      </c>
      <c r="P10" s="7" t="s">
        <v>221</v>
      </c>
      <c r="Q10" s="7" t="s">
        <v>229</v>
      </c>
      <c r="R10" s="7" t="s">
        <v>30</v>
      </c>
      <c r="S10" s="13" t="s">
        <v>229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229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F10" s="7">
        <v>2017</v>
      </c>
      <c r="AH10" s="7"/>
      <c r="AI10" s="7"/>
      <c r="AJ10" s="7"/>
      <c r="AM10" s="7" t="s">
        <v>17</v>
      </c>
    </row>
    <row r="11" spans="1:39">
      <c r="A11" s="13" t="s">
        <v>249</v>
      </c>
      <c r="B11" s="13" t="s">
        <v>232</v>
      </c>
      <c r="C11" s="13" t="s">
        <v>47</v>
      </c>
      <c r="D11"/>
      <c r="E11" s="13" t="s">
        <v>230</v>
      </c>
      <c r="F11" s="3">
        <v>0</v>
      </c>
      <c r="G11" s="13" t="s">
        <v>230</v>
      </c>
      <c r="H11" s="3">
        <v>1</v>
      </c>
      <c r="I11" s="13" t="s">
        <v>230</v>
      </c>
      <c r="J11" s="3">
        <v>1</v>
      </c>
      <c r="K11" s="13" t="s">
        <v>230</v>
      </c>
      <c r="L11" s="3">
        <v>1</v>
      </c>
      <c r="M11" s="13" t="s">
        <v>230</v>
      </c>
      <c r="N11" s="3">
        <v>1</v>
      </c>
      <c r="O11" s="7" t="s">
        <v>230</v>
      </c>
      <c r="P11" s="7" t="s">
        <v>221</v>
      </c>
      <c r="Q11" s="7" t="s">
        <v>230</v>
      </c>
      <c r="R11" s="7" t="s">
        <v>30</v>
      </c>
      <c r="S11" s="13" t="s">
        <v>230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230</v>
      </c>
      <c r="AB11" s="3">
        <v>5.4793989999999999</v>
      </c>
      <c r="AD11" s="14">
        <v>2023</v>
      </c>
      <c r="AE11" s="14" t="str">
        <f t="shared" si="0"/>
        <v/>
      </c>
      <c r="AF11" s="7">
        <v>2018</v>
      </c>
      <c r="AH11" s="7"/>
      <c r="AI11" s="7"/>
      <c r="AJ11" s="7"/>
      <c r="AM11" s="7" t="s">
        <v>18</v>
      </c>
    </row>
    <row r="12" spans="1:39">
      <c r="A12" s="13" t="s">
        <v>247</v>
      </c>
      <c r="B12" s="13" t="s">
        <v>235</v>
      </c>
      <c r="C12" s="13" t="s">
        <v>48</v>
      </c>
      <c r="D12" s="13"/>
      <c r="E12" s="13" t="s">
        <v>231</v>
      </c>
      <c r="F12" s="3">
        <v>0</v>
      </c>
      <c r="G12" s="13" t="s">
        <v>231</v>
      </c>
      <c r="H12" s="3">
        <v>0</v>
      </c>
      <c r="I12" s="13" t="s">
        <v>231</v>
      </c>
      <c r="J12" s="3">
        <v>1</v>
      </c>
      <c r="K12" s="13" t="s">
        <v>231</v>
      </c>
      <c r="L12" s="3">
        <v>0</v>
      </c>
      <c r="M12" s="13" t="s">
        <v>231</v>
      </c>
      <c r="N12" s="3">
        <v>0</v>
      </c>
      <c r="O12" s="7" t="s">
        <v>231</v>
      </c>
      <c r="P12" s="7" t="s">
        <v>232</v>
      </c>
      <c r="Q12" s="7" t="s">
        <v>231</v>
      </c>
      <c r="R12" s="7" t="s">
        <v>30</v>
      </c>
      <c r="S12" s="13" t="s">
        <v>231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231</v>
      </c>
      <c r="AB12" s="3">
        <v>4.4793989999999999</v>
      </c>
      <c r="AD12" s="14">
        <v>2024</v>
      </c>
      <c r="AE12" s="14" t="str">
        <f t="shared" si="0"/>
        <v/>
      </c>
      <c r="AF12" s="7">
        <v>2019</v>
      </c>
      <c r="AH12" s="7"/>
      <c r="AI12" s="7"/>
      <c r="AJ12" s="7"/>
      <c r="AM12" s="7" t="s">
        <v>19</v>
      </c>
    </row>
    <row r="13" spans="1:39">
      <c r="A13" s="13" t="s">
        <v>252</v>
      </c>
      <c r="B13" s="13" t="s">
        <v>236</v>
      </c>
      <c r="C13" s="13" t="s">
        <v>49</v>
      </c>
      <c r="D13" s="13"/>
      <c r="E13" s="13" t="s">
        <v>233</v>
      </c>
      <c r="F13" s="3">
        <v>0</v>
      </c>
      <c r="G13" s="13" t="s">
        <v>233</v>
      </c>
      <c r="H13" s="3">
        <v>1</v>
      </c>
      <c r="I13" s="13" t="s">
        <v>233</v>
      </c>
      <c r="J13" s="3">
        <v>1</v>
      </c>
      <c r="K13" s="13" t="s">
        <v>233</v>
      </c>
      <c r="L13" s="3">
        <v>1</v>
      </c>
      <c r="M13" s="13" t="s">
        <v>233</v>
      </c>
      <c r="N13" s="3">
        <v>1</v>
      </c>
      <c r="O13" s="7" t="s">
        <v>233</v>
      </c>
      <c r="P13" s="7" t="s">
        <v>235</v>
      </c>
      <c r="Q13" s="7" t="s">
        <v>233</v>
      </c>
      <c r="R13" s="7" t="s">
        <v>30</v>
      </c>
      <c r="S13" s="13" t="s">
        <v>233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233</v>
      </c>
      <c r="AB13" s="3">
        <v>6.4793989999999999</v>
      </c>
      <c r="AD13" s="14">
        <v>2025</v>
      </c>
      <c r="AE13" s="14" t="str">
        <f t="shared" si="0"/>
        <v/>
      </c>
      <c r="AF13" s="7">
        <v>2020</v>
      </c>
      <c r="AH13" s="7"/>
      <c r="AI13" s="7"/>
      <c r="AJ13" s="7"/>
      <c r="AM13" s="7" t="s">
        <v>20</v>
      </c>
    </row>
    <row r="14" spans="1:39">
      <c r="A14" s="13" t="s">
        <v>251</v>
      </c>
      <c r="B14" s="13" t="s">
        <v>237</v>
      </c>
      <c r="C14" s="13" t="s">
        <v>50</v>
      </c>
      <c r="D14" s="13"/>
      <c r="E14" s="13" t="s">
        <v>234</v>
      </c>
      <c r="F14" s="3">
        <v>0</v>
      </c>
      <c r="G14" s="13" t="s">
        <v>234</v>
      </c>
      <c r="H14" s="3">
        <v>1</v>
      </c>
      <c r="I14" s="13" t="s">
        <v>234</v>
      </c>
      <c r="J14" s="3">
        <v>1</v>
      </c>
      <c r="K14" s="13" t="s">
        <v>234</v>
      </c>
      <c r="L14" s="3">
        <v>1</v>
      </c>
      <c r="M14" s="13" t="s">
        <v>234</v>
      </c>
      <c r="N14" s="3">
        <v>1</v>
      </c>
      <c r="O14" s="7" t="s">
        <v>234</v>
      </c>
      <c r="P14" s="7" t="s">
        <v>236</v>
      </c>
      <c r="Q14" s="7" t="s">
        <v>234</v>
      </c>
      <c r="R14" s="7" t="s">
        <v>30</v>
      </c>
      <c r="S14" s="13" t="s">
        <v>234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234</v>
      </c>
      <c r="AB14" s="3">
        <v>6.4793989999999999</v>
      </c>
      <c r="AD14" s="14">
        <v>2026</v>
      </c>
      <c r="AF14" s="7">
        <v>2021</v>
      </c>
      <c r="AH14" s="7"/>
      <c r="AI14" s="7"/>
      <c r="AJ14" s="7"/>
      <c r="AM14" s="7" t="s">
        <v>21</v>
      </c>
    </row>
    <row r="15" spans="1:39">
      <c r="A15" s="13" t="s">
        <v>230</v>
      </c>
      <c r="B15" s="13" t="s">
        <v>243</v>
      </c>
      <c r="C15" s="13" t="s">
        <v>51</v>
      </c>
      <c r="D15" s="13"/>
      <c r="E15" s="13" t="s">
        <v>238</v>
      </c>
      <c r="F15" s="3">
        <v>0</v>
      </c>
      <c r="G15" s="13" t="s">
        <v>238</v>
      </c>
      <c r="H15" s="3">
        <v>0</v>
      </c>
      <c r="I15" s="13" t="s">
        <v>238</v>
      </c>
      <c r="J15" s="3">
        <v>1</v>
      </c>
      <c r="K15" s="13" t="s">
        <v>238</v>
      </c>
      <c r="L15" s="3">
        <v>0</v>
      </c>
      <c r="M15" s="13" t="s">
        <v>238</v>
      </c>
      <c r="N15" s="3">
        <v>0</v>
      </c>
      <c r="O15" s="7" t="s">
        <v>238</v>
      </c>
      <c r="P15" s="7" t="s">
        <v>237</v>
      </c>
      <c r="Q15" s="7" t="s">
        <v>238</v>
      </c>
      <c r="R15" s="7" t="s">
        <v>30</v>
      </c>
      <c r="S15" s="13" t="s">
        <v>238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238</v>
      </c>
      <c r="AB15" s="3">
        <v>100</v>
      </c>
      <c r="AD15" s="14">
        <v>2027</v>
      </c>
      <c r="AF15" s="7">
        <v>2022</v>
      </c>
      <c r="AH15" s="7"/>
      <c r="AI15" s="7"/>
      <c r="AJ15" s="7"/>
      <c r="AM15" s="7" t="s">
        <v>22</v>
      </c>
    </row>
    <row r="16" spans="1:39">
      <c r="A16" s="13" t="s">
        <v>240</v>
      </c>
      <c r="B16" s="13" t="s">
        <v>248</v>
      </c>
      <c r="C16" s="13" t="s">
        <v>52</v>
      </c>
      <c r="D16" s="13"/>
      <c r="E16" s="13" t="s">
        <v>239</v>
      </c>
      <c r="F16" s="3">
        <v>0</v>
      </c>
      <c r="G16" s="13" t="s">
        <v>239</v>
      </c>
      <c r="H16" s="3">
        <v>1</v>
      </c>
      <c r="I16" s="13" t="s">
        <v>239</v>
      </c>
      <c r="J16" s="3">
        <v>1</v>
      </c>
      <c r="K16" s="13" t="s">
        <v>239</v>
      </c>
      <c r="L16" s="3">
        <v>1</v>
      </c>
      <c r="M16" s="13" t="s">
        <v>239</v>
      </c>
      <c r="N16" s="3">
        <v>1</v>
      </c>
      <c r="O16" s="7" t="s">
        <v>239</v>
      </c>
      <c r="P16" s="7" t="s">
        <v>237</v>
      </c>
      <c r="Q16" s="7" t="s">
        <v>239</v>
      </c>
      <c r="R16" s="7" t="s">
        <v>30</v>
      </c>
      <c r="S16" s="13" t="s">
        <v>239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239</v>
      </c>
      <c r="AB16" s="3">
        <v>7.75</v>
      </c>
      <c r="AD16" s="14">
        <v>2028</v>
      </c>
      <c r="AF16" s="7">
        <v>2023</v>
      </c>
      <c r="AH16" s="7"/>
      <c r="AI16" s="7"/>
      <c r="AJ16" s="7"/>
      <c r="AM16" s="7" t="s">
        <v>5</v>
      </c>
    </row>
    <row r="17" spans="1:39">
      <c r="A17" s="13" t="s">
        <v>233</v>
      </c>
      <c r="B17" s="13" t="s">
        <v>250</v>
      </c>
      <c r="E17" s="13" t="s">
        <v>240</v>
      </c>
      <c r="F17" s="3">
        <v>0</v>
      </c>
      <c r="G17" s="13" t="s">
        <v>240</v>
      </c>
      <c r="H17" s="3">
        <v>1</v>
      </c>
      <c r="I17" s="13" t="s">
        <v>240</v>
      </c>
      <c r="J17" s="3">
        <v>1</v>
      </c>
      <c r="K17" s="13" t="s">
        <v>240</v>
      </c>
      <c r="L17" s="3">
        <v>1</v>
      </c>
      <c r="M17" s="13" t="s">
        <v>240</v>
      </c>
      <c r="N17" s="3">
        <v>1</v>
      </c>
      <c r="O17" s="7" t="s">
        <v>240</v>
      </c>
      <c r="P17" s="7" t="s">
        <v>222</v>
      </c>
      <c r="Q17" s="7" t="s">
        <v>240</v>
      </c>
      <c r="R17" s="7" t="s">
        <v>30</v>
      </c>
      <c r="S17" s="13" t="s">
        <v>240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240</v>
      </c>
      <c r="AB17" s="3">
        <v>6.4793989999999999</v>
      </c>
      <c r="AD17" s="14">
        <v>2029</v>
      </c>
      <c r="AF17" s="7">
        <v>2024</v>
      </c>
      <c r="AH17" s="7"/>
      <c r="AI17" s="7"/>
      <c r="AJ17" s="7"/>
      <c r="AM17" s="7" t="s">
        <v>23</v>
      </c>
    </row>
    <row r="18" spans="1:39">
      <c r="A18" s="13" t="s">
        <v>241</v>
      </c>
      <c r="B18" s="13" t="s">
        <v>267</v>
      </c>
      <c r="E18" s="13" t="s">
        <v>241</v>
      </c>
      <c r="F18" s="3">
        <v>0</v>
      </c>
      <c r="G18" s="13" t="s">
        <v>241</v>
      </c>
      <c r="H18" s="3">
        <v>1</v>
      </c>
      <c r="I18" s="13" t="s">
        <v>241</v>
      </c>
      <c r="J18" s="3">
        <v>1</v>
      </c>
      <c r="K18" s="13" t="s">
        <v>241</v>
      </c>
      <c r="L18" s="3">
        <v>1</v>
      </c>
      <c r="M18" s="13" t="s">
        <v>241</v>
      </c>
      <c r="N18" s="3">
        <v>1</v>
      </c>
      <c r="O18" s="7" t="s">
        <v>241</v>
      </c>
      <c r="P18" s="7" t="s">
        <v>221</v>
      </c>
      <c r="Q18" s="7" t="s">
        <v>241</v>
      </c>
      <c r="R18" s="7" t="s">
        <v>30</v>
      </c>
      <c r="S18" s="13" t="s">
        <v>241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241</v>
      </c>
      <c r="AB18" s="3">
        <v>6.4793989999999999</v>
      </c>
      <c r="AD18" s="14">
        <v>2030</v>
      </c>
      <c r="AF18" s="7">
        <v>2025</v>
      </c>
      <c r="AH18" s="7"/>
      <c r="AI18" s="7"/>
      <c r="AJ18" s="7"/>
      <c r="AM18" s="7" t="s">
        <v>25</v>
      </c>
    </row>
    <row r="19" spans="1:39">
      <c r="A19" s="13" t="s">
        <v>234</v>
      </c>
      <c r="B19" s="13" t="s">
        <v>268</v>
      </c>
      <c r="E19" s="13" t="s">
        <v>242</v>
      </c>
      <c r="F19" s="3">
        <v>0</v>
      </c>
      <c r="G19" s="13" t="s">
        <v>242</v>
      </c>
      <c r="H19" s="3">
        <v>0</v>
      </c>
      <c r="I19" s="13" t="s">
        <v>242</v>
      </c>
      <c r="J19" s="3">
        <v>1</v>
      </c>
      <c r="K19" s="13" t="s">
        <v>242</v>
      </c>
      <c r="L19" s="3">
        <v>0</v>
      </c>
      <c r="M19" s="13" t="s">
        <v>242</v>
      </c>
      <c r="N19" s="3">
        <v>0</v>
      </c>
      <c r="O19" s="7" t="s">
        <v>242</v>
      </c>
      <c r="P19" s="7" t="s">
        <v>219</v>
      </c>
      <c r="Q19" s="7" t="s">
        <v>242</v>
      </c>
      <c r="R19" s="7" t="s">
        <v>30</v>
      </c>
      <c r="S19" s="13" t="s">
        <v>242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242</v>
      </c>
      <c r="AB19" s="3">
        <v>100</v>
      </c>
      <c r="AD19" s="14">
        <v>2031</v>
      </c>
      <c r="AF19" s="7">
        <v>2026</v>
      </c>
      <c r="AH19" s="7"/>
      <c r="AI19" s="7"/>
      <c r="AJ19" s="7"/>
      <c r="AM19" s="7" t="s">
        <v>24</v>
      </c>
    </row>
    <row r="20" spans="1:39">
      <c r="A20" s="13" t="s">
        <v>220</v>
      </c>
      <c r="B20" s="13" t="s">
        <v>269</v>
      </c>
      <c r="E20" s="13" t="s">
        <v>244</v>
      </c>
      <c r="F20" s="3">
        <v>0</v>
      </c>
      <c r="G20" s="13" t="s">
        <v>244</v>
      </c>
      <c r="H20" s="3">
        <v>0</v>
      </c>
      <c r="I20" s="13" t="s">
        <v>244</v>
      </c>
      <c r="J20" s="3">
        <v>1</v>
      </c>
      <c r="K20" s="13" t="s">
        <v>244</v>
      </c>
      <c r="L20" s="3">
        <v>0</v>
      </c>
      <c r="M20" s="13" t="s">
        <v>244</v>
      </c>
      <c r="N20" s="3">
        <v>0</v>
      </c>
      <c r="O20" s="7" t="s">
        <v>244</v>
      </c>
      <c r="P20" s="7" t="s">
        <v>243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100</v>
      </c>
      <c r="AD20" s="14">
        <v>2032</v>
      </c>
      <c r="AF20" s="7">
        <v>2027</v>
      </c>
      <c r="AH20" s="7"/>
      <c r="AI20" s="7"/>
      <c r="AJ20" s="7"/>
      <c r="AM20" s="7" t="s">
        <v>11</v>
      </c>
    </row>
    <row r="21" spans="1:39">
      <c r="A21" s="13" t="s">
        <v>229</v>
      </c>
      <c r="B21" s="13" t="s">
        <v>270</v>
      </c>
      <c r="E21" s="13" t="s">
        <v>247</v>
      </c>
      <c r="F21" s="3">
        <v>1</v>
      </c>
      <c r="G21" s="13" t="s">
        <v>247</v>
      </c>
      <c r="H21" s="3">
        <v>1</v>
      </c>
      <c r="I21" s="13" t="s">
        <v>247</v>
      </c>
      <c r="J21" s="3">
        <v>1</v>
      </c>
      <c r="K21" s="13" t="s">
        <v>247</v>
      </c>
      <c r="L21" s="3">
        <v>1</v>
      </c>
      <c r="M21" s="13" t="s">
        <v>247</v>
      </c>
      <c r="N21" s="3">
        <v>1</v>
      </c>
      <c r="O21" s="7" t="s">
        <v>247</v>
      </c>
      <c r="P21" s="7" t="s">
        <v>248</v>
      </c>
      <c r="Q21" s="7" t="s">
        <v>247</v>
      </c>
      <c r="R21" s="7" t="s">
        <v>30</v>
      </c>
      <c r="S21" s="13" t="s">
        <v>247</v>
      </c>
      <c r="T21" s="3">
        <v>-1</v>
      </c>
      <c r="U21" s="3">
        <v>-1</v>
      </c>
      <c r="V21" s="3">
        <v>-1</v>
      </c>
      <c r="W21" s="3">
        <v>1</v>
      </c>
      <c r="X21" s="3">
        <v>-1</v>
      </c>
      <c r="Y21" s="3"/>
      <c r="Z21" s="3"/>
      <c r="AA21" s="13" t="s">
        <v>247</v>
      </c>
      <c r="AB21" s="3">
        <v>7.000327102810413</v>
      </c>
      <c r="AD21" s="14">
        <v>2033</v>
      </c>
      <c r="AF21" s="7">
        <v>2028</v>
      </c>
      <c r="AH21" s="7"/>
      <c r="AI21" s="7"/>
      <c r="AJ21" s="7"/>
      <c r="AM21" s="7" t="s">
        <v>11</v>
      </c>
    </row>
    <row r="22" spans="1:39">
      <c r="A22" s="13" t="s">
        <v>242</v>
      </c>
      <c r="B22" s="13" t="s">
        <v>271</v>
      </c>
      <c r="E22" s="13" t="s">
        <v>249</v>
      </c>
      <c r="F22" s="3">
        <v>0</v>
      </c>
      <c r="G22" s="13" t="s">
        <v>249</v>
      </c>
      <c r="H22" s="3">
        <v>1</v>
      </c>
      <c r="I22" s="13" t="s">
        <v>249</v>
      </c>
      <c r="J22" s="3">
        <v>1</v>
      </c>
      <c r="K22" s="13" t="s">
        <v>249</v>
      </c>
      <c r="L22" s="3">
        <v>1</v>
      </c>
      <c r="M22" s="13" t="s">
        <v>249</v>
      </c>
      <c r="N22" s="3">
        <v>1</v>
      </c>
      <c r="O22" s="7" t="s">
        <v>249</v>
      </c>
      <c r="P22" s="7" t="s">
        <v>250</v>
      </c>
      <c r="Q22" s="7" t="s">
        <v>249</v>
      </c>
      <c r="R22" s="7" t="s">
        <v>30</v>
      </c>
      <c r="S22" s="13" t="s">
        <v>249</v>
      </c>
      <c r="T22" s="3">
        <v>-1</v>
      </c>
      <c r="U22" s="3">
        <v>1</v>
      </c>
      <c r="V22" s="3">
        <v>1</v>
      </c>
      <c r="W22" s="3">
        <v>1</v>
      </c>
      <c r="X22" s="3">
        <v>-1</v>
      </c>
      <c r="Y22" s="3"/>
      <c r="Z22" s="3"/>
      <c r="AA22" s="13" t="s">
        <v>249</v>
      </c>
      <c r="AB22" s="3">
        <v>7.000327102810413</v>
      </c>
      <c r="AD22" s="14">
        <v>2034</v>
      </c>
      <c r="AF22" s="7">
        <v>2029</v>
      </c>
      <c r="AH22" s="7"/>
      <c r="AI22" s="7"/>
      <c r="AJ22" s="7"/>
      <c r="AM22" s="7" t="s">
        <v>11</v>
      </c>
    </row>
    <row r="23" spans="1:39">
      <c r="A23" s="13" t="s">
        <v>244</v>
      </c>
      <c r="B23" s="13" t="s">
        <v>272</v>
      </c>
      <c r="E23" s="13" t="s">
        <v>251</v>
      </c>
      <c r="F23" s="3">
        <v>0</v>
      </c>
      <c r="G23" s="13" t="s">
        <v>251</v>
      </c>
      <c r="H23" s="3">
        <v>1</v>
      </c>
      <c r="I23" s="13" t="s">
        <v>251</v>
      </c>
      <c r="J23" s="3">
        <v>1</v>
      </c>
      <c r="K23" s="13" t="s">
        <v>251</v>
      </c>
      <c r="L23" s="3">
        <v>1</v>
      </c>
      <c r="M23" s="13" t="s">
        <v>251</v>
      </c>
      <c r="N23" s="3">
        <v>1</v>
      </c>
      <c r="O23" s="7" t="s">
        <v>251</v>
      </c>
      <c r="P23" s="7" t="s">
        <v>248</v>
      </c>
      <c r="Q23" s="7" t="s">
        <v>251</v>
      </c>
      <c r="R23" s="7" t="s">
        <v>30</v>
      </c>
      <c r="S23" s="13" t="s">
        <v>251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251</v>
      </c>
      <c r="AB23" s="3">
        <v>6.000327102810413</v>
      </c>
      <c r="AD23" s="14">
        <v>2035</v>
      </c>
      <c r="AF23" s="7">
        <v>2030</v>
      </c>
      <c r="AH23" s="7"/>
      <c r="AI23" s="7"/>
      <c r="AJ23" s="7"/>
      <c r="AM23" s="7" t="s">
        <v>11</v>
      </c>
    </row>
    <row r="24" spans="1:39">
      <c r="A24" s="13" t="s">
        <v>193</v>
      </c>
      <c r="B24" s="13" t="s">
        <v>273</v>
      </c>
      <c r="E24" s="13" t="s">
        <v>252</v>
      </c>
      <c r="F24" s="3">
        <v>0</v>
      </c>
      <c r="G24" s="13" t="s">
        <v>252</v>
      </c>
      <c r="H24" s="3">
        <v>1</v>
      </c>
      <c r="I24" s="13" t="s">
        <v>252</v>
      </c>
      <c r="J24" s="3">
        <v>1</v>
      </c>
      <c r="K24" s="13" t="s">
        <v>252</v>
      </c>
      <c r="L24" s="3">
        <v>1</v>
      </c>
      <c r="M24" s="13" t="s">
        <v>252</v>
      </c>
      <c r="N24" s="3">
        <v>1</v>
      </c>
      <c r="O24" s="7" t="s">
        <v>252</v>
      </c>
      <c r="P24" s="7" t="s">
        <v>250</v>
      </c>
      <c r="Q24" s="7" t="s">
        <v>252</v>
      </c>
      <c r="R24" s="7" t="s">
        <v>30</v>
      </c>
      <c r="S24" s="13" t="s">
        <v>252</v>
      </c>
      <c r="T24" s="3">
        <v>-1</v>
      </c>
      <c r="U24" s="3">
        <v>1</v>
      </c>
      <c r="V24" s="3">
        <v>1</v>
      </c>
      <c r="W24" s="3">
        <v>1</v>
      </c>
      <c r="X24" s="3">
        <v>-1</v>
      </c>
      <c r="Y24" s="3"/>
      <c r="Z24" s="3"/>
      <c r="AA24" s="13" t="s">
        <v>252</v>
      </c>
      <c r="AB24" s="3">
        <v>6.000327102810413</v>
      </c>
      <c r="AD24" s="14">
        <v>2036</v>
      </c>
      <c r="AF24" s="7">
        <v>2031</v>
      </c>
      <c r="AH24" s="7"/>
      <c r="AI24" s="7"/>
      <c r="AJ24" s="7"/>
      <c r="AM24" s="7"/>
    </row>
    <row r="25" spans="1:39">
      <c r="A25" s="13" t="s">
        <v>253</v>
      </c>
      <c r="B25" s="13" t="s">
        <v>274</v>
      </c>
      <c r="E25" s="13" t="s">
        <v>253</v>
      </c>
      <c r="F25" s="3">
        <v>0</v>
      </c>
      <c r="G25" s="13" t="s">
        <v>253</v>
      </c>
      <c r="H25" s="3">
        <v>1</v>
      </c>
      <c r="I25" s="13" t="s">
        <v>253</v>
      </c>
      <c r="J25" s="3">
        <v>0</v>
      </c>
      <c r="K25" s="13" t="s">
        <v>253</v>
      </c>
      <c r="L25" s="3">
        <v>1</v>
      </c>
      <c r="M25" s="13" t="s">
        <v>253</v>
      </c>
      <c r="N25" s="3">
        <v>1</v>
      </c>
      <c r="O25" s="7" t="s">
        <v>253</v>
      </c>
      <c r="P25" s="7" t="s">
        <v>267</v>
      </c>
      <c r="Q25" s="7" t="s">
        <v>253</v>
      </c>
      <c r="R25" s="7" t="s">
        <v>30</v>
      </c>
      <c r="S25" s="13" t="s">
        <v>253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3" t="s">
        <v>253</v>
      </c>
      <c r="AB25" s="3">
        <v>7.000327102810413</v>
      </c>
      <c r="AD25" s="14">
        <v>2037</v>
      </c>
      <c r="AF25" s="7">
        <v>2032</v>
      </c>
      <c r="AH25" s="7"/>
      <c r="AI25" s="7"/>
      <c r="AJ25" s="7"/>
      <c r="AM25" s="7"/>
    </row>
    <row r="26" spans="1:39">
      <c r="A26" s="13" t="s">
        <v>254</v>
      </c>
      <c r="B26" s="13" t="s">
        <v>275</v>
      </c>
      <c r="E26" s="13" t="s">
        <v>254</v>
      </c>
      <c r="F26" s="3">
        <v>0</v>
      </c>
      <c r="G26" s="13" t="s">
        <v>254</v>
      </c>
      <c r="H26" s="3">
        <v>1</v>
      </c>
      <c r="I26" s="13" t="s">
        <v>254</v>
      </c>
      <c r="J26" s="3">
        <v>0</v>
      </c>
      <c r="K26" s="13" t="s">
        <v>254</v>
      </c>
      <c r="L26" s="3">
        <v>1</v>
      </c>
      <c r="M26" s="13" t="s">
        <v>254</v>
      </c>
      <c r="N26" s="3">
        <v>1</v>
      </c>
      <c r="O26" s="7" t="s">
        <v>254</v>
      </c>
      <c r="P26" s="7" t="s">
        <v>268</v>
      </c>
      <c r="Q26" s="7" t="s">
        <v>254</v>
      </c>
      <c r="R26" s="7" t="s">
        <v>30</v>
      </c>
      <c r="S26" s="13" t="s">
        <v>254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3" t="s">
        <v>254</v>
      </c>
      <c r="AB26" s="3">
        <v>7.000327102810413</v>
      </c>
      <c r="AD26" s="14">
        <v>2038</v>
      </c>
      <c r="AF26" s="7">
        <v>2033</v>
      </c>
      <c r="AH26" s="7"/>
      <c r="AI26" s="7"/>
      <c r="AJ26" s="7"/>
      <c r="AM26" s="7"/>
    </row>
    <row r="27" spans="1:39">
      <c r="A27" s="13" t="s">
        <v>255</v>
      </c>
      <c r="B27" s="13" t="s">
        <v>276</v>
      </c>
      <c r="E27" s="13" t="s">
        <v>255</v>
      </c>
      <c r="F27" s="3">
        <v>0</v>
      </c>
      <c r="G27" s="13" t="s">
        <v>255</v>
      </c>
      <c r="H27" s="3">
        <v>1</v>
      </c>
      <c r="I27" s="13" t="s">
        <v>255</v>
      </c>
      <c r="J27" s="3">
        <v>0</v>
      </c>
      <c r="K27" s="13" t="s">
        <v>255</v>
      </c>
      <c r="L27" s="3">
        <v>1</v>
      </c>
      <c r="M27" s="13" t="s">
        <v>255</v>
      </c>
      <c r="N27" s="3">
        <v>1</v>
      </c>
      <c r="O27" s="7" t="s">
        <v>255</v>
      </c>
      <c r="P27" s="7" t="s">
        <v>269</v>
      </c>
      <c r="Q27" s="7" t="s">
        <v>255</v>
      </c>
      <c r="R27" s="7" t="s">
        <v>30</v>
      </c>
      <c r="S27" s="13" t="s">
        <v>255</v>
      </c>
      <c r="T27" s="3">
        <v>-1</v>
      </c>
      <c r="U27" s="3">
        <v>1</v>
      </c>
      <c r="V27" s="3">
        <v>1</v>
      </c>
      <c r="W27" s="3">
        <v>1</v>
      </c>
      <c r="X27" s="3">
        <v>-1</v>
      </c>
      <c r="Y27" s="3"/>
      <c r="Z27" s="3"/>
      <c r="AA27" s="13" t="s">
        <v>255</v>
      </c>
      <c r="AB27" s="3">
        <v>7.000327102810413</v>
      </c>
      <c r="AD27" s="14">
        <v>2039</v>
      </c>
      <c r="AF27" s="7">
        <v>2034</v>
      </c>
      <c r="AH27" s="7"/>
      <c r="AI27" s="7"/>
      <c r="AJ27" s="7"/>
      <c r="AM27" s="7"/>
    </row>
    <row r="28" spans="1:39">
      <c r="A28" s="13" t="s">
        <v>256</v>
      </c>
      <c r="B28" s="13" t="s">
        <v>277</v>
      </c>
      <c r="E28" s="13" t="s">
        <v>256</v>
      </c>
      <c r="F28" s="3">
        <v>0</v>
      </c>
      <c r="G28" s="13" t="s">
        <v>256</v>
      </c>
      <c r="H28" s="3">
        <v>1</v>
      </c>
      <c r="I28" s="13" t="s">
        <v>256</v>
      </c>
      <c r="J28" s="3">
        <v>0</v>
      </c>
      <c r="K28" s="13" t="s">
        <v>256</v>
      </c>
      <c r="L28" s="3">
        <v>1</v>
      </c>
      <c r="M28" s="13" t="s">
        <v>256</v>
      </c>
      <c r="N28" s="3">
        <v>1</v>
      </c>
      <c r="O28" s="7" t="s">
        <v>256</v>
      </c>
      <c r="P28" s="7" t="s">
        <v>267</v>
      </c>
      <c r="Q28" s="7" t="s">
        <v>256</v>
      </c>
      <c r="R28" s="7" t="s">
        <v>30</v>
      </c>
      <c r="S28" s="13" t="s">
        <v>256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3" t="s">
        <v>256</v>
      </c>
      <c r="AB28" s="3">
        <v>6.000327102810413</v>
      </c>
      <c r="AD28" s="14">
        <v>2040</v>
      </c>
      <c r="AF28" s="7">
        <v>2035</v>
      </c>
      <c r="AH28" s="7"/>
      <c r="AI28" s="7"/>
      <c r="AJ28" s="7"/>
      <c r="AM28" s="7"/>
    </row>
    <row r="29" spans="1:39">
      <c r="A29" s="13" t="s">
        <v>257</v>
      </c>
      <c r="B29" s="13" t="s">
        <v>278</v>
      </c>
      <c r="E29" s="13" t="s">
        <v>257</v>
      </c>
      <c r="F29" s="3">
        <v>0</v>
      </c>
      <c r="G29" s="13" t="s">
        <v>257</v>
      </c>
      <c r="H29" s="3">
        <v>1</v>
      </c>
      <c r="I29" s="13" t="s">
        <v>257</v>
      </c>
      <c r="J29" s="3">
        <v>0</v>
      </c>
      <c r="K29" s="13" t="s">
        <v>257</v>
      </c>
      <c r="L29" s="3">
        <v>1</v>
      </c>
      <c r="M29" s="13" t="s">
        <v>257</v>
      </c>
      <c r="N29" s="3">
        <v>1</v>
      </c>
      <c r="O29" s="7" t="s">
        <v>257</v>
      </c>
      <c r="P29" s="7" t="s">
        <v>268</v>
      </c>
      <c r="Q29" s="7" t="s">
        <v>257</v>
      </c>
      <c r="R29" s="7" t="s">
        <v>30</v>
      </c>
      <c r="S29" s="13" t="s">
        <v>257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3" t="s">
        <v>257</v>
      </c>
      <c r="AB29" s="3">
        <v>6.000327102810413</v>
      </c>
      <c r="AD29" s="14">
        <v>2041</v>
      </c>
      <c r="AF29" s="7">
        <v>2036</v>
      </c>
      <c r="AH29" s="7"/>
      <c r="AI29" s="7"/>
      <c r="AJ29" s="7"/>
      <c r="AM29" s="7"/>
    </row>
    <row r="30" spans="1:39">
      <c r="A30" s="13" t="s">
        <v>258</v>
      </c>
      <c r="B30" s="13" t="s">
        <v>279</v>
      </c>
      <c r="E30" s="13" t="s">
        <v>258</v>
      </c>
      <c r="F30" s="3">
        <v>0</v>
      </c>
      <c r="G30" s="13" t="s">
        <v>258</v>
      </c>
      <c r="H30" s="3">
        <v>1</v>
      </c>
      <c r="I30" s="13" t="s">
        <v>258</v>
      </c>
      <c r="J30" s="3">
        <v>0</v>
      </c>
      <c r="K30" s="13" t="s">
        <v>258</v>
      </c>
      <c r="L30" s="3">
        <v>1</v>
      </c>
      <c r="M30" s="13" t="s">
        <v>258</v>
      </c>
      <c r="N30" s="3">
        <v>1</v>
      </c>
      <c r="O30" s="7" t="s">
        <v>258</v>
      </c>
      <c r="P30" s="7" t="s">
        <v>270</v>
      </c>
      <c r="Q30" s="7" t="s">
        <v>258</v>
      </c>
      <c r="R30" s="7" t="s">
        <v>30</v>
      </c>
      <c r="S30" s="13" t="s">
        <v>258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3" t="s">
        <v>258</v>
      </c>
      <c r="AB30" s="3">
        <v>6.000327102810413</v>
      </c>
      <c r="AD30" s="14">
        <v>2042</v>
      </c>
      <c r="AF30" s="7">
        <v>2037</v>
      </c>
      <c r="AH30" s="7"/>
      <c r="AI30" s="7"/>
      <c r="AJ30" s="7"/>
      <c r="AM30" s="7"/>
    </row>
    <row r="31" spans="1:39">
      <c r="A31" s="13" t="s">
        <v>259</v>
      </c>
      <c r="B31" s="13" t="s">
        <v>280</v>
      </c>
      <c r="E31" s="13" t="s">
        <v>259</v>
      </c>
      <c r="F31" s="3">
        <v>0</v>
      </c>
      <c r="G31" s="13" t="s">
        <v>259</v>
      </c>
      <c r="H31" s="3">
        <v>1</v>
      </c>
      <c r="I31" s="13" t="s">
        <v>259</v>
      </c>
      <c r="J31" s="3">
        <v>0</v>
      </c>
      <c r="K31" s="13" t="s">
        <v>259</v>
      </c>
      <c r="L31" s="3">
        <v>1</v>
      </c>
      <c r="M31" s="13" t="s">
        <v>259</v>
      </c>
      <c r="N31" s="3">
        <v>1</v>
      </c>
      <c r="O31" s="7" t="s">
        <v>259</v>
      </c>
      <c r="P31" s="7" t="s">
        <v>271</v>
      </c>
      <c r="Q31" s="7" t="s">
        <v>259</v>
      </c>
      <c r="R31" s="7" t="s">
        <v>30</v>
      </c>
      <c r="S31" s="13" t="s">
        <v>259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3" t="s">
        <v>259</v>
      </c>
      <c r="AB31" s="3">
        <v>6.000327102810413</v>
      </c>
      <c r="AD31" s="14">
        <v>2043</v>
      </c>
      <c r="AF31" s="7">
        <v>2040</v>
      </c>
      <c r="AH31" s="7"/>
      <c r="AI31" s="7"/>
      <c r="AJ31" s="7"/>
      <c r="AM31" s="7"/>
    </row>
    <row r="32" spans="1:39">
      <c r="A32" s="13" t="s">
        <v>260</v>
      </c>
      <c r="B32" s="13" t="s">
        <v>286</v>
      </c>
      <c r="E32" s="13" t="s">
        <v>260</v>
      </c>
      <c r="F32" s="3">
        <v>0</v>
      </c>
      <c r="G32" s="13" t="s">
        <v>260</v>
      </c>
      <c r="H32" s="3">
        <v>1</v>
      </c>
      <c r="I32" s="13" t="s">
        <v>260</v>
      </c>
      <c r="J32" s="3">
        <v>0</v>
      </c>
      <c r="K32" s="13" t="s">
        <v>260</v>
      </c>
      <c r="L32" s="3">
        <v>1</v>
      </c>
      <c r="M32" s="13" t="s">
        <v>260</v>
      </c>
      <c r="N32" s="3">
        <v>1</v>
      </c>
      <c r="O32" s="7" t="s">
        <v>260</v>
      </c>
      <c r="P32" s="7" t="s">
        <v>272</v>
      </c>
      <c r="Q32" s="7" t="s">
        <v>260</v>
      </c>
      <c r="R32" s="7" t="s">
        <v>30</v>
      </c>
      <c r="S32" s="13" t="s">
        <v>260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3" t="s">
        <v>260</v>
      </c>
      <c r="AB32" s="3">
        <v>6.000327102810413</v>
      </c>
      <c r="AD32" s="14">
        <v>2044</v>
      </c>
      <c r="AF32" s="7">
        <v>2045</v>
      </c>
      <c r="AH32" s="7"/>
      <c r="AI32" s="7"/>
      <c r="AJ32" s="7"/>
      <c r="AM32" s="7"/>
    </row>
    <row r="33" spans="1:39">
      <c r="A33" s="13" t="s">
        <v>261</v>
      </c>
      <c r="B33" s="13" t="s">
        <v>288</v>
      </c>
      <c r="E33" s="13" t="s">
        <v>261</v>
      </c>
      <c r="F33" s="3">
        <v>0</v>
      </c>
      <c r="G33" s="13" t="s">
        <v>261</v>
      </c>
      <c r="H33" s="3">
        <v>1</v>
      </c>
      <c r="I33" s="13" t="s">
        <v>261</v>
      </c>
      <c r="J33" s="3">
        <v>0</v>
      </c>
      <c r="K33" s="13" t="s">
        <v>261</v>
      </c>
      <c r="L33" s="3">
        <v>1</v>
      </c>
      <c r="M33" s="13" t="s">
        <v>261</v>
      </c>
      <c r="N33" s="3">
        <v>1</v>
      </c>
      <c r="O33" s="7" t="s">
        <v>261</v>
      </c>
      <c r="P33" s="7" t="s">
        <v>273</v>
      </c>
      <c r="Q33" s="7" t="s">
        <v>261</v>
      </c>
      <c r="R33" s="7" t="s">
        <v>30</v>
      </c>
      <c r="S33" s="13" t="s">
        <v>261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3" t="s">
        <v>261</v>
      </c>
      <c r="AB33" s="3">
        <v>6.000327102810413</v>
      </c>
      <c r="AD33" s="14">
        <v>2045</v>
      </c>
      <c r="AF33" s="7">
        <v>2050</v>
      </c>
      <c r="AH33" s="7"/>
      <c r="AI33" s="7"/>
      <c r="AJ33" s="7"/>
      <c r="AM33" s="7"/>
    </row>
    <row r="34" spans="1:39">
      <c r="A34" s="13" t="s">
        <v>262</v>
      </c>
      <c r="B34"/>
      <c r="E34" s="13" t="s">
        <v>262</v>
      </c>
      <c r="F34" s="3">
        <v>0</v>
      </c>
      <c r="G34" s="13" t="s">
        <v>262</v>
      </c>
      <c r="H34" s="3">
        <v>1</v>
      </c>
      <c r="I34" s="13" t="s">
        <v>262</v>
      </c>
      <c r="J34" s="3">
        <v>0</v>
      </c>
      <c r="K34" s="13" t="s">
        <v>262</v>
      </c>
      <c r="L34" s="3">
        <v>1</v>
      </c>
      <c r="M34" s="13" t="s">
        <v>262</v>
      </c>
      <c r="N34" s="3">
        <v>1</v>
      </c>
      <c r="O34" s="7" t="s">
        <v>262</v>
      </c>
      <c r="P34" s="7" t="s">
        <v>274</v>
      </c>
      <c r="Q34" s="7" t="s">
        <v>262</v>
      </c>
      <c r="R34" s="7" t="s">
        <v>30</v>
      </c>
      <c r="S34" s="13" t="s">
        <v>262</v>
      </c>
      <c r="T34" s="3">
        <v>-1</v>
      </c>
      <c r="U34" s="3">
        <v>-1</v>
      </c>
      <c r="V34" s="3">
        <v>-1</v>
      </c>
      <c r="W34" s="3">
        <v>1</v>
      </c>
      <c r="X34" s="3">
        <v>-1</v>
      </c>
      <c r="AA34" s="13" t="s">
        <v>262</v>
      </c>
      <c r="AB34" s="3">
        <v>6.000327102810413</v>
      </c>
      <c r="AD34" s="14">
        <v>2046</v>
      </c>
      <c r="AH34" s="7"/>
      <c r="AI34" s="7"/>
      <c r="AJ34" s="7"/>
      <c r="AM34" s="7"/>
    </row>
    <row r="35" spans="1:39">
      <c r="A35" s="13" t="s">
        <v>263</v>
      </c>
      <c r="B35"/>
      <c r="E35" s="13" t="s">
        <v>263</v>
      </c>
      <c r="F35" s="3">
        <v>0</v>
      </c>
      <c r="G35" s="13" t="s">
        <v>263</v>
      </c>
      <c r="H35" s="3">
        <v>1</v>
      </c>
      <c r="I35" s="13" t="s">
        <v>263</v>
      </c>
      <c r="J35" s="3">
        <v>0</v>
      </c>
      <c r="K35" s="13" t="s">
        <v>263</v>
      </c>
      <c r="L35" s="3">
        <v>1</v>
      </c>
      <c r="M35" s="13" t="s">
        <v>263</v>
      </c>
      <c r="N35" s="3">
        <v>1</v>
      </c>
      <c r="O35" s="7" t="s">
        <v>263</v>
      </c>
      <c r="P35" s="7" t="s">
        <v>275</v>
      </c>
      <c r="Q35" s="7" t="s">
        <v>263</v>
      </c>
      <c r="R35" s="7" t="s">
        <v>30</v>
      </c>
      <c r="S35" s="13" t="s">
        <v>263</v>
      </c>
      <c r="T35" s="3">
        <v>-1</v>
      </c>
      <c r="U35" s="3">
        <v>-1</v>
      </c>
      <c r="V35" s="3">
        <v>-1</v>
      </c>
      <c r="W35" s="3">
        <v>1</v>
      </c>
      <c r="X35" s="3">
        <v>-1</v>
      </c>
      <c r="AA35" s="13" t="s">
        <v>263</v>
      </c>
      <c r="AB35" s="3">
        <v>6.000327102810413</v>
      </c>
      <c r="AD35" s="14">
        <v>2047</v>
      </c>
      <c r="AH35" s="7"/>
      <c r="AI35" s="7"/>
      <c r="AJ35" s="7"/>
      <c r="AM35" s="7"/>
    </row>
    <row r="36" spans="1:39">
      <c r="A36" s="13" t="s">
        <v>264</v>
      </c>
      <c r="B36"/>
      <c r="E36" s="13" t="s">
        <v>264</v>
      </c>
      <c r="F36" s="3">
        <v>0</v>
      </c>
      <c r="G36" s="13" t="s">
        <v>264</v>
      </c>
      <c r="H36" s="3">
        <v>1</v>
      </c>
      <c r="I36" s="13" t="s">
        <v>264</v>
      </c>
      <c r="J36" s="3">
        <v>0</v>
      </c>
      <c r="K36" s="13" t="s">
        <v>264</v>
      </c>
      <c r="L36" s="3">
        <v>1</v>
      </c>
      <c r="M36" s="13" t="s">
        <v>264</v>
      </c>
      <c r="N36" s="3">
        <v>1</v>
      </c>
      <c r="O36" s="7" t="s">
        <v>264</v>
      </c>
      <c r="P36" s="7" t="s">
        <v>276</v>
      </c>
      <c r="Q36" s="7" t="s">
        <v>264</v>
      </c>
      <c r="R36" s="7" t="s">
        <v>30</v>
      </c>
      <c r="S36" s="13" t="s">
        <v>264</v>
      </c>
      <c r="T36" s="3">
        <v>-1</v>
      </c>
      <c r="U36" s="3">
        <v>-1</v>
      </c>
      <c r="V36" s="3">
        <v>-1</v>
      </c>
      <c r="W36" s="3">
        <v>1</v>
      </c>
      <c r="X36" s="3">
        <v>-1</v>
      </c>
      <c r="AA36" s="13" t="s">
        <v>264</v>
      </c>
      <c r="AB36" s="3">
        <v>6.000327102810413</v>
      </c>
      <c r="AD36" s="14">
        <v>2048</v>
      </c>
      <c r="AH36" s="7"/>
      <c r="AI36" s="7"/>
      <c r="AJ36" s="7"/>
      <c r="AM36" s="7"/>
    </row>
    <row r="37" spans="1:39">
      <c r="A37" s="13" t="s">
        <v>265</v>
      </c>
      <c r="B37"/>
      <c r="E37" s="13" t="s">
        <v>265</v>
      </c>
      <c r="F37" s="3">
        <v>0</v>
      </c>
      <c r="G37" s="13" t="s">
        <v>265</v>
      </c>
      <c r="H37" s="3">
        <v>1</v>
      </c>
      <c r="I37" s="13" t="s">
        <v>265</v>
      </c>
      <c r="J37" s="3">
        <v>0</v>
      </c>
      <c r="K37" s="13" t="s">
        <v>265</v>
      </c>
      <c r="L37" s="3">
        <v>1</v>
      </c>
      <c r="M37" s="13" t="s">
        <v>265</v>
      </c>
      <c r="N37" s="3">
        <v>1</v>
      </c>
      <c r="O37" s="7" t="s">
        <v>265</v>
      </c>
      <c r="P37" s="7" t="s">
        <v>277</v>
      </c>
      <c r="Q37" s="7" t="s">
        <v>265</v>
      </c>
      <c r="R37" s="7" t="s">
        <v>30</v>
      </c>
      <c r="S37" s="13" t="s">
        <v>265</v>
      </c>
      <c r="T37" s="3">
        <v>-1</v>
      </c>
      <c r="U37" s="3">
        <v>-1</v>
      </c>
      <c r="V37" s="3">
        <v>-1</v>
      </c>
      <c r="W37" s="3">
        <v>1</v>
      </c>
      <c r="X37" s="3">
        <v>-1</v>
      </c>
      <c r="AA37" s="13" t="s">
        <v>265</v>
      </c>
      <c r="AB37" s="3">
        <v>6.000327102810413</v>
      </c>
      <c r="AD37" s="14">
        <v>2049</v>
      </c>
      <c r="AH37" s="7"/>
      <c r="AI37" s="7"/>
      <c r="AJ37" s="7"/>
      <c r="AM37" s="7"/>
    </row>
    <row r="38" spans="1:39">
      <c r="A38" s="13" t="s">
        <v>266</v>
      </c>
      <c r="B38"/>
      <c r="E38" s="13" t="s">
        <v>266</v>
      </c>
      <c r="F38" s="3">
        <v>0</v>
      </c>
      <c r="G38" s="13" t="s">
        <v>266</v>
      </c>
      <c r="H38" s="3">
        <v>1</v>
      </c>
      <c r="I38" s="13" t="s">
        <v>266</v>
      </c>
      <c r="J38" s="3">
        <v>0</v>
      </c>
      <c r="K38" s="13" t="s">
        <v>266</v>
      </c>
      <c r="L38" s="3">
        <v>1</v>
      </c>
      <c r="M38" s="13" t="s">
        <v>266</v>
      </c>
      <c r="N38" s="3">
        <v>1</v>
      </c>
      <c r="O38" s="7" t="s">
        <v>266</v>
      </c>
      <c r="P38" s="7" t="s">
        <v>278</v>
      </c>
      <c r="Q38" s="7" t="s">
        <v>266</v>
      </c>
      <c r="R38" s="7" t="s">
        <v>30</v>
      </c>
      <c r="S38" s="13" t="s">
        <v>266</v>
      </c>
      <c r="T38" s="3">
        <v>-1</v>
      </c>
      <c r="U38" s="3">
        <v>1</v>
      </c>
      <c r="V38" s="3">
        <v>1</v>
      </c>
      <c r="W38" s="3">
        <v>1</v>
      </c>
      <c r="X38" s="3">
        <v>-1</v>
      </c>
      <c r="AA38" s="13" t="s">
        <v>266</v>
      </c>
      <c r="AB38" s="3">
        <v>6.000327102810413</v>
      </c>
      <c r="AD38" s="14">
        <v>2050</v>
      </c>
      <c r="AH38" s="7"/>
      <c r="AI38" s="7"/>
      <c r="AJ38" s="7"/>
      <c r="AM38" s="7"/>
    </row>
    <row r="39" spans="1:39">
      <c r="A39" s="13" t="s">
        <v>281</v>
      </c>
      <c r="B39"/>
      <c r="E39" s="13" t="s">
        <v>281</v>
      </c>
      <c r="F39" s="3">
        <v>0</v>
      </c>
      <c r="G39" s="13" t="s">
        <v>281</v>
      </c>
      <c r="H39" s="3">
        <v>1</v>
      </c>
      <c r="I39" s="13" t="s">
        <v>281</v>
      </c>
      <c r="J39" s="3">
        <v>0</v>
      </c>
      <c r="K39" s="13" t="s">
        <v>281</v>
      </c>
      <c r="L39" s="3">
        <v>1</v>
      </c>
      <c r="M39" s="13" t="s">
        <v>281</v>
      </c>
      <c r="N39" s="3">
        <v>1</v>
      </c>
      <c r="O39" s="7" t="s">
        <v>281</v>
      </c>
      <c r="P39" s="7" t="s">
        <v>279</v>
      </c>
      <c r="Q39" s="7" t="s">
        <v>281</v>
      </c>
      <c r="R39" s="7" t="s">
        <v>30</v>
      </c>
      <c r="S39" s="13" t="s">
        <v>281</v>
      </c>
      <c r="T39" s="3">
        <v>-1</v>
      </c>
      <c r="U39" s="3">
        <v>1</v>
      </c>
      <c r="V39" s="3">
        <v>1</v>
      </c>
      <c r="W39" s="3">
        <v>1</v>
      </c>
      <c r="X39" s="3">
        <v>-1</v>
      </c>
      <c r="AA39" s="13" t="s">
        <v>281</v>
      </c>
      <c r="AB39" s="3">
        <v>6.000327102810413</v>
      </c>
      <c r="AH39" s="7"/>
      <c r="AI39" s="7"/>
      <c r="AJ39" s="7"/>
      <c r="AM39" s="7"/>
    </row>
    <row r="40" spans="1:39">
      <c r="A40" s="13" t="s">
        <v>282</v>
      </c>
      <c r="B40"/>
      <c r="E40" s="13" t="s">
        <v>282</v>
      </c>
      <c r="F40" s="3">
        <v>0</v>
      </c>
      <c r="G40" s="13" t="s">
        <v>282</v>
      </c>
      <c r="H40" s="3">
        <v>1</v>
      </c>
      <c r="I40" s="13" t="s">
        <v>282</v>
      </c>
      <c r="J40" s="3">
        <v>0</v>
      </c>
      <c r="K40" s="13" t="s">
        <v>282</v>
      </c>
      <c r="L40" s="3">
        <v>1</v>
      </c>
      <c r="M40" s="13" t="s">
        <v>282</v>
      </c>
      <c r="N40" s="3">
        <v>1</v>
      </c>
      <c r="O40" s="7" t="s">
        <v>282</v>
      </c>
      <c r="P40" s="7" t="s">
        <v>280</v>
      </c>
      <c r="Q40" s="7" t="s">
        <v>282</v>
      </c>
      <c r="R40" s="7" t="s">
        <v>30</v>
      </c>
      <c r="S40" s="13" t="s">
        <v>282</v>
      </c>
      <c r="T40" s="3">
        <v>-1</v>
      </c>
      <c r="U40" s="3">
        <v>1</v>
      </c>
      <c r="V40" s="3">
        <v>1</v>
      </c>
      <c r="W40" s="3">
        <v>1</v>
      </c>
      <c r="X40" s="3">
        <v>-1</v>
      </c>
      <c r="AA40" s="13" t="s">
        <v>282</v>
      </c>
      <c r="AB40" s="3">
        <v>7.000327102810413</v>
      </c>
      <c r="AH40" s="7"/>
      <c r="AI40" s="7"/>
      <c r="AJ40" s="7"/>
      <c r="AM40" s="7"/>
    </row>
    <row r="41" spans="1:39">
      <c r="A41" s="13" t="s">
        <v>283</v>
      </c>
      <c r="B41"/>
      <c r="E41" s="13" t="s">
        <v>283</v>
      </c>
      <c r="F41" s="3">
        <v>0</v>
      </c>
      <c r="G41" s="13" t="s">
        <v>283</v>
      </c>
      <c r="H41" s="3">
        <v>1</v>
      </c>
      <c r="I41" s="13" t="s">
        <v>283</v>
      </c>
      <c r="J41" s="3">
        <v>0</v>
      </c>
      <c r="K41" s="13" t="s">
        <v>283</v>
      </c>
      <c r="L41" s="3">
        <v>1</v>
      </c>
      <c r="M41" s="13" t="s">
        <v>283</v>
      </c>
      <c r="N41" s="3">
        <v>1</v>
      </c>
      <c r="O41" s="7" t="s">
        <v>283</v>
      </c>
      <c r="P41" s="7" t="s">
        <v>270</v>
      </c>
      <c r="Q41" s="7" t="s">
        <v>283</v>
      </c>
      <c r="R41" s="7" t="s">
        <v>30</v>
      </c>
      <c r="S41" s="13" t="s">
        <v>283</v>
      </c>
      <c r="T41" s="3">
        <v>-1</v>
      </c>
      <c r="U41" s="3">
        <v>1</v>
      </c>
      <c r="V41" s="3">
        <v>1</v>
      </c>
      <c r="W41" s="3">
        <v>1</v>
      </c>
      <c r="X41" s="3">
        <v>-1</v>
      </c>
      <c r="AA41" s="13" t="s">
        <v>283</v>
      </c>
      <c r="AB41" s="3">
        <v>7.000327102810413</v>
      </c>
      <c r="AH41" s="7"/>
      <c r="AI41" s="7"/>
      <c r="AJ41" s="7"/>
      <c r="AM41" s="7"/>
    </row>
    <row r="42" spans="1:39">
      <c r="A42" s="13" t="s">
        <v>284</v>
      </c>
      <c r="B42"/>
      <c r="E42" s="13" t="s">
        <v>284</v>
      </c>
      <c r="F42" s="3">
        <v>0</v>
      </c>
      <c r="G42" s="13" t="s">
        <v>284</v>
      </c>
      <c r="H42" s="3">
        <v>1</v>
      </c>
      <c r="I42" s="13" t="s">
        <v>284</v>
      </c>
      <c r="J42" s="3">
        <v>0</v>
      </c>
      <c r="K42" s="13" t="s">
        <v>284</v>
      </c>
      <c r="L42" s="3">
        <v>1</v>
      </c>
      <c r="M42" s="13" t="s">
        <v>284</v>
      </c>
      <c r="N42" s="3">
        <v>1</v>
      </c>
      <c r="O42" s="7" t="s">
        <v>284</v>
      </c>
      <c r="P42" s="7" t="s">
        <v>274</v>
      </c>
      <c r="Q42" s="7" t="s">
        <v>284</v>
      </c>
      <c r="R42" s="7" t="s">
        <v>30</v>
      </c>
      <c r="S42" s="13" t="s">
        <v>284</v>
      </c>
      <c r="T42" s="3">
        <v>-1</v>
      </c>
      <c r="U42" s="3">
        <v>-1</v>
      </c>
      <c r="V42" s="3">
        <v>-1</v>
      </c>
      <c r="W42" s="3">
        <v>1</v>
      </c>
      <c r="X42" s="3">
        <v>-1</v>
      </c>
      <c r="AA42" s="13" t="s">
        <v>284</v>
      </c>
      <c r="AB42" s="3">
        <v>7.000327102810413</v>
      </c>
      <c r="AH42" s="7"/>
      <c r="AI42" s="7"/>
      <c r="AJ42" s="7"/>
      <c r="AM42" s="7"/>
    </row>
    <row r="43" spans="1:39">
      <c r="A43" s="13" t="s">
        <v>285</v>
      </c>
      <c r="B43"/>
      <c r="E43" s="13" t="s">
        <v>285</v>
      </c>
      <c r="F43" s="3">
        <v>0</v>
      </c>
      <c r="G43" s="13" t="s">
        <v>285</v>
      </c>
      <c r="H43" s="3">
        <v>1</v>
      </c>
      <c r="I43" s="13" t="s">
        <v>285</v>
      </c>
      <c r="J43" s="3">
        <v>1</v>
      </c>
      <c r="K43" s="13" t="s">
        <v>285</v>
      </c>
      <c r="L43" s="3">
        <v>1</v>
      </c>
      <c r="M43" s="13" t="s">
        <v>285</v>
      </c>
      <c r="N43" s="3">
        <v>1</v>
      </c>
      <c r="O43" s="7" t="s">
        <v>285</v>
      </c>
      <c r="P43" s="7" t="s">
        <v>286</v>
      </c>
      <c r="Q43" s="7" t="s">
        <v>285</v>
      </c>
      <c r="R43" s="7" t="s">
        <v>30</v>
      </c>
      <c r="S43" s="13" t="s">
        <v>285</v>
      </c>
      <c r="T43" s="3">
        <v>-1</v>
      </c>
      <c r="U43" s="3">
        <v>1</v>
      </c>
      <c r="V43" s="3">
        <v>1</v>
      </c>
      <c r="W43" s="3">
        <v>1</v>
      </c>
      <c r="X43" s="3">
        <v>-1</v>
      </c>
      <c r="AA43" s="13" t="s">
        <v>285</v>
      </c>
      <c r="AB43" s="3">
        <v>7.000327102810413</v>
      </c>
      <c r="AH43" s="7"/>
      <c r="AI43" s="7"/>
      <c r="AJ43" s="7"/>
      <c r="AM43" s="7"/>
    </row>
    <row r="44" spans="1:39">
      <c r="A44" s="13" t="s">
        <v>287</v>
      </c>
      <c r="B44"/>
      <c r="E44" s="13" t="s">
        <v>287</v>
      </c>
      <c r="F44" s="3">
        <v>0</v>
      </c>
      <c r="G44" s="13" t="s">
        <v>287</v>
      </c>
      <c r="H44" s="3">
        <v>1</v>
      </c>
      <c r="I44" s="13" t="s">
        <v>287</v>
      </c>
      <c r="J44" s="3">
        <v>1</v>
      </c>
      <c r="K44" s="13" t="s">
        <v>287</v>
      </c>
      <c r="L44" s="3">
        <v>1</v>
      </c>
      <c r="M44" s="13" t="s">
        <v>287</v>
      </c>
      <c r="N44" s="3">
        <v>1</v>
      </c>
      <c r="O44" s="7" t="s">
        <v>287</v>
      </c>
      <c r="P44" s="7" t="s">
        <v>288</v>
      </c>
      <c r="Q44" s="7" t="s">
        <v>287</v>
      </c>
      <c r="R44" s="7" t="s">
        <v>30</v>
      </c>
      <c r="S44" s="13" t="s">
        <v>287</v>
      </c>
      <c r="T44" s="3">
        <v>-1</v>
      </c>
      <c r="U44" s="3">
        <v>1</v>
      </c>
      <c r="V44" s="3">
        <v>1</v>
      </c>
      <c r="W44" s="3">
        <v>1</v>
      </c>
      <c r="X44" s="3">
        <v>-1</v>
      </c>
      <c r="AA44" s="13" t="s">
        <v>287</v>
      </c>
      <c r="AB44" s="3">
        <v>7.000327102810413</v>
      </c>
      <c r="AH44" s="7"/>
      <c r="AI44" s="7"/>
      <c r="AJ44" s="7"/>
      <c r="AM44" s="7"/>
    </row>
    <row r="45" spans="1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1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1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1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2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C23" sqref="C2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225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228</v>
      </c>
      <c r="U5" s="7">
        <v>100</v>
      </c>
      <c r="AZ5" t="s">
        <v>207</v>
      </c>
    </row>
    <row r="6" spans="1:60">
      <c r="A6" s="5">
        <f>SUM(A10:A99)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3</v>
      </c>
      <c r="H6" s="11"/>
      <c r="I6" s="11"/>
      <c r="J6" s="19" t="s">
        <v>226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SUM(AY10:AY78)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227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224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223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231</v>
      </c>
      <c r="C11" s="7" t="s">
        <v>195</v>
      </c>
      <c r="D11" s="7" t="s">
        <v>30</v>
      </c>
      <c r="E11" s="7" t="s">
        <v>232</v>
      </c>
      <c r="F11" s="7">
        <v>0</v>
      </c>
      <c r="G11" s="7">
        <v>1</v>
      </c>
      <c r="H11" s="7" t="s">
        <v>225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242</v>
      </c>
      <c r="C12" s="7" t="s">
        <v>195</v>
      </c>
      <c r="D12" s="7" t="s">
        <v>30</v>
      </c>
      <c r="E12" s="7" t="s">
        <v>219</v>
      </c>
      <c r="F12" s="7">
        <v>0</v>
      </c>
      <c r="G12" s="7">
        <v>1</v>
      </c>
      <c r="H12" s="7" t="s">
        <v>225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244</v>
      </c>
      <c r="C13" s="7" t="s">
        <v>195</v>
      </c>
      <c r="D13" s="7" t="s">
        <v>30</v>
      </c>
      <c r="E13" s="7" t="s">
        <v>243</v>
      </c>
      <c r="F13" s="7">
        <v>0</v>
      </c>
      <c r="G13" s="7">
        <v>1</v>
      </c>
      <c r="H13" s="7" t="s">
        <v>225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100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230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225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233</v>
      </c>
      <c r="C15" s="7" t="s">
        <v>195</v>
      </c>
      <c r="D15" s="7" t="s">
        <v>30</v>
      </c>
      <c r="E15" s="17" t="s">
        <v>235</v>
      </c>
      <c r="F15" s="7">
        <v>1</v>
      </c>
      <c r="G15" s="7">
        <v>1</v>
      </c>
      <c r="H15" s="7" t="s">
        <v>225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234</v>
      </c>
      <c r="C16" s="7" t="s">
        <v>195</v>
      </c>
      <c r="D16" s="7" t="s">
        <v>30</v>
      </c>
      <c r="E16" s="17" t="s">
        <v>236</v>
      </c>
      <c r="F16" s="7">
        <v>1</v>
      </c>
      <c r="G16" s="7">
        <v>1</v>
      </c>
      <c r="H16" s="7" t="s">
        <v>225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240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225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241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225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239</v>
      </c>
      <c r="C19" s="7" t="s">
        <v>195</v>
      </c>
      <c r="D19" s="7" t="s">
        <v>30</v>
      </c>
      <c r="E19" s="17" t="s">
        <v>237</v>
      </c>
      <c r="F19" s="7">
        <v>1</v>
      </c>
      <c r="G19" s="7">
        <v>1</v>
      </c>
      <c r="H19" s="7" t="s">
        <v>225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238</v>
      </c>
      <c r="C20" s="7" t="s">
        <v>195</v>
      </c>
      <c r="D20" s="7" t="s">
        <v>30</v>
      </c>
      <c r="E20" s="17" t="s">
        <v>237</v>
      </c>
      <c r="F20" s="7">
        <v>0</v>
      </c>
      <c r="G20" s="7">
        <v>1</v>
      </c>
      <c r="H20" s="7" t="s">
        <v>225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225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229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225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1</v>
      </c>
      <c r="B23" s="7" t="s">
        <v>247</v>
      </c>
      <c r="C23" s="7" t="s">
        <v>290</v>
      </c>
      <c r="D23" s="7" t="s">
        <v>30</v>
      </c>
      <c r="E23" s="7" t="s">
        <v>248</v>
      </c>
      <c r="F23" s="7">
        <v>1</v>
      </c>
      <c r="G23" s="7">
        <v>1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-1</v>
      </c>
      <c r="P23" s="7">
        <v>7.000327102810413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251</v>
      </c>
      <c r="C24" s="7" t="s">
        <v>195</v>
      </c>
      <c r="D24" s="7" t="s">
        <v>30</v>
      </c>
      <c r="E24" s="7" t="s">
        <v>248</v>
      </c>
      <c r="F24" s="7">
        <v>1</v>
      </c>
      <c r="G24" s="7">
        <v>1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-1</v>
      </c>
      <c r="P24" s="7">
        <f>P23-1</f>
        <v>6.000327102810413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 s="7" customFormat="1">
      <c r="A25" s="22">
        <v>0</v>
      </c>
      <c r="B25" s="7" t="s">
        <v>285</v>
      </c>
      <c r="C25" s="7" t="s">
        <v>195</v>
      </c>
      <c r="D25" s="7" t="s">
        <v>30</v>
      </c>
      <c r="E25" s="7" t="s">
        <v>286</v>
      </c>
      <c r="F25" s="7">
        <v>1</v>
      </c>
      <c r="G25" s="7">
        <v>1</v>
      </c>
      <c r="I25" s="7">
        <v>1</v>
      </c>
      <c r="J25" s="7">
        <v>1</v>
      </c>
      <c r="K25" s="7">
        <v>-1</v>
      </c>
      <c r="L25" s="7">
        <v>1</v>
      </c>
      <c r="M25" s="7">
        <v>1</v>
      </c>
      <c r="N25" s="7">
        <v>1</v>
      </c>
      <c r="O25" s="7">
        <v>-1</v>
      </c>
      <c r="P25" s="7">
        <v>7.000327102810413</v>
      </c>
      <c r="AY25" s="7">
        <v>0</v>
      </c>
      <c r="AZ25" s="7">
        <v>1</v>
      </c>
      <c r="BA25" s="7">
        <v>1</v>
      </c>
      <c r="BB25" s="7">
        <v>1</v>
      </c>
      <c r="BD25" s="7">
        <v>1</v>
      </c>
      <c r="BE25" s="7">
        <v>1</v>
      </c>
    </row>
    <row r="26" spans="1:60" s="7" customFormat="1">
      <c r="A26" s="22">
        <v>0</v>
      </c>
      <c r="B26" s="7" t="s">
        <v>287</v>
      </c>
      <c r="C26" s="7" t="s">
        <v>289</v>
      </c>
      <c r="D26" s="7" t="s">
        <v>30</v>
      </c>
      <c r="E26" s="7" t="s">
        <v>288</v>
      </c>
      <c r="F26" s="7">
        <v>1</v>
      </c>
      <c r="G26" s="7">
        <v>1</v>
      </c>
      <c r="I26" s="7">
        <v>1</v>
      </c>
      <c r="J26" s="7">
        <v>1</v>
      </c>
      <c r="K26" s="7">
        <v>-1</v>
      </c>
      <c r="L26" s="7">
        <v>1</v>
      </c>
      <c r="M26" s="7">
        <v>1</v>
      </c>
      <c r="N26" s="7">
        <v>1</v>
      </c>
      <c r="O26" s="7">
        <v>-1</v>
      </c>
      <c r="P26" s="7">
        <v>7.000327102810413</v>
      </c>
      <c r="AY26" s="7">
        <v>0</v>
      </c>
      <c r="AZ26" s="7">
        <v>1</v>
      </c>
      <c r="BA26" s="7">
        <v>1</v>
      </c>
      <c r="BB26" s="7">
        <v>1</v>
      </c>
      <c r="BD26" s="7">
        <v>1</v>
      </c>
      <c r="BE26" s="7">
        <v>1</v>
      </c>
    </row>
    <row r="27" spans="1:60" s="7" customFormat="1">
      <c r="A27" s="22">
        <v>0</v>
      </c>
      <c r="B27" s="7" t="s">
        <v>249</v>
      </c>
      <c r="C27" s="7" t="s">
        <v>195</v>
      </c>
      <c r="D27" s="7" t="s">
        <v>30</v>
      </c>
      <c r="E27" s="7" t="s">
        <v>250</v>
      </c>
      <c r="F27" s="7">
        <v>1</v>
      </c>
      <c r="G27" s="7">
        <v>1</v>
      </c>
      <c r="I27" s="7">
        <v>1</v>
      </c>
      <c r="J27" s="7">
        <v>1</v>
      </c>
      <c r="K27" s="7">
        <v>-1</v>
      </c>
      <c r="L27" s="7">
        <v>1</v>
      </c>
      <c r="M27" s="7">
        <v>1</v>
      </c>
      <c r="N27" s="7">
        <v>1</v>
      </c>
      <c r="O27" s="7">
        <v>-1</v>
      </c>
      <c r="P27" s="7">
        <v>7.000327102810413</v>
      </c>
      <c r="AY27" s="7">
        <v>0</v>
      </c>
      <c r="AZ27" s="7">
        <v>1</v>
      </c>
      <c r="BA27" s="7">
        <v>1</v>
      </c>
      <c r="BB27" s="7">
        <v>1</v>
      </c>
      <c r="BD27" s="7">
        <v>1</v>
      </c>
      <c r="BE27" s="7">
        <v>1</v>
      </c>
    </row>
    <row r="28" spans="1:60" s="7" customFormat="1">
      <c r="A28" s="22">
        <v>0</v>
      </c>
      <c r="B28" s="7" t="s">
        <v>252</v>
      </c>
      <c r="C28" s="7" t="s">
        <v>195</v>
      </c>
      <c r="D28" s="7" t="s">
        <v>30</v>
      </c>
      <c r="E28" s="7" t="s">
        <v>250</v>
      </c>
      <c r="F28" s="7">
        <v>1</v>
      </c>
      <c r="G28" s="7">
        <v>1</v>
      </c>
      <c r="I28" s="7">
        <v>1</v>
      </c>
      <c r="J28" s="7">
        <v>1</v>
      </c>
      <c r="K28" s="7">
        <v>-1</v>
      </c>
      <c r="L28" s="7">
        <v>1</v>
      </c>
      <c r="M28" s="7">
        <v>1</v>
      </c>
      <c r="N28" s="7">
        <v>1</v>
      </c>
      <c r="O28" s="7">
        <v>-1</v>
      </c>
      <c r="P28" s="7">
        <f>P26-1</f>
        <v>6.000327102810413</v>
      </c>
      <c r="AY28" s="7">
        <v>0</v>
      </c>
      <c r="AZ28" s="7">
        <v>1</v>
      </c>
      <c r="BA28" s="7">
        <v>1</v>
      </c>
      <c r="BB28" s="7">
        <v>1</v>
      </c>
      <c r="BD28" s="7">
        <v>1</v>
      </c>
      <c r="BE28" s="7">
        <v>1</v>
      </c>
    </row>
    <row r="29" spans="1:60" s="7" customFormat="1">
      <c r="A29" s="22">
        <v>0</v>
      </c>
      <c r="B29" s="7" t="s">
        <v>253</v>
      </c>
      <c r="D29" s="7" t="s">
        <v>30</v>
      </c>
      <c r="E29" s="7" t="s">
        <v>267</v>
      </c>
      <c r="F29" s="7">
        <v>1</v>
      </c>
      <c r="G29" s="7">
        <v>0</v>
      </c>
      <c r="I29" s="7">
        <v>1</v>
      </c>
      <c r="J29" s="7">
        <v>1</v>
      </c>
      <c r="K29" s="7">
        <v>-1</v>
      </c>
      <c r="L29" s="7">
        <v>-1</v>
      </c>
      <c r="M29" s="7">
        <v>-1</v>
      </c>
      <c r="N29" s="7">
        <v>1</v>
      </c>
      <c r="O29" s="7">
        <v>-1</v>
      </c>
      <c r="P29" s="7">
        <f>$P$26</f>
        <v>7.000327102810413</v>
      </c>
    </row>
    <row r="30" spans="1:60" s="7" customFormat="1">
      <c r="A30" s="22">
        <v>0</v>
      </c>
      <c r="B30" s="7" t="s">
        <v>254</v>
      </c>
      <c r="D30" s="7" t="s">
        <v>30</v>
      </c>
      <c r="E30" s="7" t="s">
        <v>268</v>
      </c>
      <c r="F30" s="7">
        <v>1</v>
      </c>
      <c r="G30" s="7">
        <v>0</v>
      </c>
      <c r="I30" s="7">
        <v>1</v>
      </c>
      <c r="J30" s="7">
        <v>1</v>
      </c>
      <c r="K30" s="7">
        <v>-1</v>
      </c>
      <c r="L30" s="7">
        <v>-1</v>
      </c>
      <c r="M30" s="7">
        <v>-1</v>
      </c>
      <c r="N30" s="7">
        <v>1</v>
      </c>
      <c r="O30" s="7">
        <v>-1</v>
      </c>
      <c r="P30" s="7">
        <f>$P$26</f>
        <v>7.000327102810413</v>
      </c>
    </row>
    <row r="31" spans="1:60" s="7" customFormat="1">
      <c r="A31" s="22">
        <v>0</v>
      </c>
      <c r="B31" s="7" t="s">
        <v>255</v>
      </c>
      <c r="D31" s="7" t="s">
        <v>30</v>
      </c>
      <c r="E31" s="7" t="s">
        <v>269</v>
      </c>
      <c r="F31" s="7">
        <v>1</v>
      </c>
      <c r="G31" s="7">
        <v>0</v>
      </c>
      <c r="I31" s="7">
        <v>1</v>
      </c>
      <c r="J31" s="7">
        <v>1</v>
      </c>
      <c r="K31" s="7">
        <v>-1</v>
      </c>
      <c r="L31" s="7">
        <v>1</v>
      </c>
      <c r="M31" s="7">
        <v>1</v>
      </c>
      <c r="N31" s="7">
        <v>1</v>
      </c>
      <c r="O31" s="7">
        <v>-1</v>
      </c>
      <c r="P31" s="7">
        <f>$P$26</f>
        <v>7.000327102810413</v>
      </c>
    </row>
    <row r="32" spans="1:60" s="7" customFormat="1">
      <c r="A32" s="22">
        <v>0</v>
      </c>
      <c r="B32" s="7" t="s">
        <v>256</v>
      </c>
      <c r="D32" s="7" t="s">
        <v>30</v>
      </c>
      <c r="E32" s="24" t="s">
        <v>267</v>
      </c>
      <c r="F32" s="7">
        <v>1</v>
      </c>
      <c r="G32" s="7">
        <v>0</v>
      </c>
      <c r="I32" s="7">
        <v>1</v>
      </c>
      <c r="J32" s="7">
        <v>1</v>
      </c>
      <c r="K32" s="7">
        <v>-1</v>
      </c>
      <c r="L32" s="7">
        <v>-1</v>
      </c>
      <c r="M32" s="7">
        <v>-1</v>
      </c>
      <c r="N32" s="7">
        <v>1</v>
      </c>
      <c r="O32" s="7">
        <v>-1</v>
      </c>
      <c r="P32" s="7">
        <f>$P$28</f>
        <v>6.000327102810413</v>
      </c>
    </row>
    <row r="33" spans="1:16" s="7" customFormat="1">
      <c r="A33" s="22">
        <v>0</v>
      </c>
      <c r="B33" s="7" t="s">
        <v>257</v>
      </c>
      <c r="D33" s="7" t="s">
        <v>30</v>
      </c>
      <c r="E33" s="7" t="s">
        <v>268</v>
      </c>
      <c r="F33" s="7">
        <v>1</v>
      </c>
      <c r="G33" s="7">
        <v>0</v>
      </c>
      <c r="I33" s="7">
        <v>1</v>
      </c>
      <c r="J33" s="7">
        <v>1</v>
      </c>
      <c r="K33" s="7">
        <v>-1</v>
      </c>
      <c r="L33" s="7">
        <v>-1</v>
      </c>
      <c r="M33" s="7">
        <v>-1</v>
      </c>
      <c r="N33" s="7">
        <v>1</v>
      </c>
      <c r="O33" s="7">
        <v>-1</v>
      </c>
      <c r="P33" s="7">
        <f t="shared" ref="P33:P43" si="4">$P$28</f>
        <v>6.000327102810413</v>
      </c>
    </row>
    <row r="34" spans="1:16" s="7" customFormat="1">
      <c r="A34" s="22">
        <v>0</v>
      </c>
      <c r="B34" s="7" t="s">
        <v>258</v>
      </c>
      <c r="D34" s="7" t="s">
        <v>30</v>
      </c>
      <c r="E34" s="7" t="s">
        <v>270</v>
      </c>
      <c r="F34" s="7">
        <v>1</v>
      </c>
      <c r="G34" s="7">
        <v>0</v>
      </c>
      <c r="I34" s="7">
        <v>1</v>
      </c>
      <c r="J34" s="7">
        <v>1</v>
      </c>
      <c r="K34" s="7">
        <v>-1</v>
      </c>
      <c r="L34" s="7">
        <v>-1</v>
      </c>
      <c r="M34" s="7">
        <v>-1</v>
      </c>
      <c r="N34" s="7">
        <v>1</v>
      </c>
      <c r="O34" s="7">
        <v>-1</v>
      </c>
      <c r="P34" s="7">
        <f t="shared" si="4"/>
        <v>6.000327102810413</v>
      </c>
    </row>
    <row r="35" spans="1:16" s="7" customFormat="1">
      <c r="A35" s="22">
        <v>0</v>
      </c>
      <c r="B35" s="7" t="s">
        <v>259</v>
      </c>
      <c r="D35" s="7" t="s">
        <v>30</v>
      </c>
      <c r="E35" s="7" t="s">
        <v>271</v>
      </c>
      <c r="F35" s="7">
        <v>1</v>
      </c>
      <c r="G35" s="7">
        <v>0</v>
      </c>
      <c r="I35" s="7">
        <v>1</v>
      </c>
      <c r="J35" s="7">
        <v>1</v>
      </c>
      <c r="K35" s="7">
        <v>-1</v>
      </c>
      <c r="L35" s="7">
        <v>-1</v>
      </c>
      <c r="M35" s="7">
        <v>-1</v>
      </c>
      <c r="N35" s="7">
        <v>1</v>
      </c>
      <c r="O35" s="7">
        <v>-1</v>
      </c>
      <c r="P35" s="7">
        <f t="shared" si="4"/>
        <v>6.000327102810413</v>
      </c>
    </row>
    <row r="36" spans="1:16" s="7" customFormat="1">
      <c r="A36" s="22">
        <v>0</v>
      </c>
      <c r="B36" s="7" t="s">
        <v>260</v>
      </c>
      <c r="D36" s="7" t="s">
        <v>30</v>
      </c>
      <c r="E36" s="7" t="s">
        <v>272</v>
      </c>
      <c r="F36" s="7">
        <v>1</v>
      </c>
      <c r="G36" s="7">
        <v>0</v>
      </c>
      <c r="I36" s="7">
        <v>1</v>
      </c>
      <c r="J36" s="7">
        <v>1</v>
      </c>
      <c r="K36" s="7">
        <v>-1</v>
      </c>
      <c r="L36" s="7">
        <v>-1</v>
      </c>
      <c r="M36" s="7">
        <v>-1</v>
      </c>
      <c r="N36" s="7">
        <v>1</v>
      </c>
      <c r="O36" s="7">
        <v>-1</v>
      </c>
      <c r="P36" s="7">
        <f t="shared" si="4"/>
        <v>6.000327102810413</v>
      </c>
    </row>
    <row r="37" spans="1:16" s="7" customFormat="1">
      <c r="A37" s="22">
        <v>0</v>
      </c>
      <c r="B37" s="7" t="s">
        <v>261</v>
      </c>
      <c r="D37" s="7" t="s">
        <v>30</v>
      </c>
      <c r="E37" s="7" t="s">
        <v>273</v>
      </c>
      <c r="F37" s="7">
        <v>1</v>
      </c>
      <c r="G37" s="7">
        <v>0</v>
      </c>
      <c r="I37" s="7">
        <v>1</v>
      </c>
      <c r="J37" s="7">
        <v>1</v>
      </c>
      <c r="K37" s="7">
        <v>-1</v>
      </c>
      <c r="L37" s="7">
        <v>-1</v>
      </c>
      <c r="M37" s="7">
        <v>-1</v>
      </c>
      <c r="N37" s="7">
        <v>1</v>
      </c>
      <c r="O37" s="7">
        <v>-1</v>
      </c>
      <c r="P37" s="7">
        <f t="shared" si="4"/>
        <v>6.000327102810413</v>
      </c>
    </row>
    <row r="38" spans="1:16" s="7" customFormat="1">
      <c r="A38" s="22">
        <v>0</v>
      </c>
      <c r="B38" s="7" t="s">
        <v>262</v>
      </c>
      <c r="D38" s="7" t="s">
        <v>30</v>
      </c>
      <c r="E38" s="7" t="s">
        <v>274</v>
      </c>
      <c r="F38" s="7">
        <v>1</v>
      </c>
      <c r="G38" s="7">
        <v>0</v>
      </c>
      <c r="I38" s="7">
        <v>1</v>
      </c>
      <c r="J38" s="7">
        <v>1</v>
      </c>
      <c r="K38" s="7">
        <v>-1</v>
      </c>
      <c r="L38" s="7">
        <v>-1</v>
      </c>
      <c r="M38" s="7">
        <v>-1</v>
      </c>
      <c r="N38" s="7">
        <v>1</v>
      </c>
      <c r="O38" s="7">
        <v>-1</v>
      </c>
      <c r="P38" s="7">
        <f t="shared" si="4"/>
        <v>6.000327102810413</v>
      </c>
    </row>
    <row r="39" spans="1:16" s="7" customFormat="1">
      <c r="A39" s="22">
        <v>0</v>
      </c>
      <c r="B39" s="7" t="s">
        <v>263</v>
      </c>
      <c r="D39" s="7" t="s">
        <v>30</v>
      </c>
      <c r="E39" s="7" t="s">
        <v>275</v>
      </c>
      <c r="F39" s="7">
        <v>1</v>
      </c>
      <c r="G39" s="7">
        <v>0</v>
      </c>
      <c r="I39" s="7">
        <v>1</v>
      </c>
      <c r="J39" s="7">
        <v>1</v>
      </c>
      <c r="K39" s="7">
        <v>-1</v>
      </c>
      <c r="L39" s="7">
        <v>-1</v>
      </c>
      <c r="M39" s="7">
        <v>-1</v>
      </c>
      <c r="N39" s="7">
        <v>1</v>
      </c>
      <c r="O39" s="7">
        <v>-1</v>
      </c>
      <c r="P39" s="7">
        <f t="shared" si="4"/>
        <v>6.000327102810413</v>
      </c>
    </row>
    <row r="40" spans="1:16" s="7" customFormat="1">
      <c r="A40" s="22">
        <v>0</v>
      </c>
      <c r="B40" s="7" t="s">
        <v>264</v>
      </c>
      <c r="D40" s="7" t="s">
        <v>30</v>
      </c>
      <c r="E40" s="7" t="s">
        <v>276</v>
      </c>
      <c r="F40" s="7">
        <v>1</v>
      </c>
      <c r="G40" s="7">
        <v>0</v>
      </c>
      <c r="I40" s="7">
        <v>1</v>
      </c>
      <c r="J40" s="7">
        <v>1</v>
      </c>
      <c r="K40" s="7">
        <v>-1</v>
      </c>
      <c r="L40" s="7">
        <v>-1</v>
      </c>
      <c r="M40" s="7">
        <v>-1</v>
      </c>
      <c r="N40" s="7">
        <v>1</v>
      </c>
      <c r="O40" s="7">
        <v>-1</v>
      </c>
      <c r="P40" s="7">
        <f t="shared" si="4"/>
        <v>6.000327102810413</v>
      </c>
    </row>
    <row r="41" spans="1:16" s="7" customFormat="1">
      <c r="A41" s="22">
        <v>0</v>
      </c>
      <c r="B41" s="7" t="s">
        <v>265</v>
      </c>
      <c r="D41" s="7" t="s">
        <v>30</v>
      </c>
      <c r="E41" s="7" t="s">
        <v>277</v>
      </c>
      <c r="F41" s="7">
        <v>1</v>
      </c>
      <c r="G41" s="7">
        <v>0</v>
      </c>
      <c r="I41" s="7">
        <v>1</v>
      </c>
      <c r="J41" s="7">
        <v>1</v>
      </c>
      <c r="K41" s="7">
        <v>-1</v>
      </c>
      <c r="L41" s="7">
        <v>-1</v>
      </c>
      <c r="M41" s="7">
        <v>-1</v>
      </c>
      <c r="N41" s="7">
        <v>1</v>
      </c>
      <c r="O41" s="7">
        <v>-1</v>
      </c>
      <c r="P41" s="7">
        <f t="shared" si="4"/>
        <v>6.000327102810413</v>
      </c>
    </row>
    <row r="42" spans="1:16" s="7" customFormat="1">
      <c r="A42" s="22">
        <v>0</v>
      </c>
      <c r="B42" s="7" t="s">
        <v>266</v>
      </c>
      <c r="D42" s="7" t="s">
        <v>30</v>
      </c>
      <c r="E42" s="7" t="s">
        <v>278</v>
      </c>
      <c r="F42" s="7">
        <v>1</v>
      </c>
      <c r="G42" s="7">
        <v>0</v>
      </c>
      <c r="I42" s="7">
        <v>1</v>
      </c>
      <c r="J42" s="7">
        <v>1</v>
      </c>
      <c r="K42" s="7">
        <v>-1</v>
      </c>
      <c r="L42" s="7">
        <v>1</v>
      </c>
      <c r="M42" s="7">
        <v>1</v>
      </c>
      <c r="N42" s="7">
        <v>1</v>
      </c>
      <c r="O42" s="7">
        <v>-1</v>
      </c>
      <c r="P42" s="7">
        <f t="shared" si="4"/>
        <v>6.000327102810413</v>
      </c>
    </row>
    <row r="43" spans="1:16" s="7" customFormat="1">
      <c r="A43" s="22">
        <v>0</v>
      </c>
      <c r="B43" s="7" t="s">
        <v>281</v>
      </c>
      <c r="D43" s="7" t="s">
        <v>30</v>
      </c>
      <c r="E43" s="7" t="s">
        <v>279</v>
      </c>
      <c r="F43" s="7">
        <v>1</v>
      </c>
      <c r="G43" s="7">
        <v>0</v>
      </c>
      <c r="I43" s="7">
        <v>1</v>
      </c>
      <c r="J43" s="7">
        <v>1</v>
      </c>
      <c r="K43" s="7">
        <v>-1</v>
      </c>
      <c r="L43" s="7">
        <v>1</v>
      </c>
      <c r="M43" s="7">
        <v>1</v>
      </c>
      <c r="N43" s="7">
        <v>1</v>
      </c>
      <c r="O43" s="7">
        <v>-1</v>
      </c>
      <c r="P43" s="7">
        <f t="shared" si="4"/>
        <v>6.000327102810413</v>
      </c>
    </row>
    <row r="44" spans="1:16" s="7" customFormat="1">
      <c r="A44" s="22">
        <v>0</v>
      </c>
      <c r="B44" s="7" t="s">
        <v>282</v>
      </c>
      <c r="D44" s="7" t="s">
        <v>30</v>
      </c>
      <c r="E44" s="7" t="s">
        <v>280</v>
      </c>
      <c r="F44" s="7">
        <v>1</v>
      </c>
      <c r="G44" s="7">
        <v>0</v>
      </c>
      <c r="I44" s="7">
        <v>1</v>
      </c>
      <c r="J44" s="7">
        <v>1</v>
      </c>
      <c r="K44" s="7">
        <v>-1</v>
      </c>
      <c r="L44" s="7">
        <v>1</v>
      </c>
      <c r="M44" s="7">
        <v>1</v>
      </c>
      <c r="N44" s="7">
        <v>1</v>
      </c>
      <c r="O44" s="7">
        <v>-1</v>
      </c>
      <c r="P44" s="7">
        <v>7.000327102810413</v>
      </c>
    </row>
    <row r="45" spans="1:16" s="7" customFormat="1">
      <c r="A45" s="22">
        <v>0</v>
      </c>
      <c r="B45" s="7" t="s">
        <v>283</v>
      </c>
      <c r="D45" s="7" t="s">
        <v>30</v>
      </c>
      <c r="E45" s="7" t="s">
        <v>270</v>
      </c>
      <c r="F45" s="7">
        <v>1</v>
      </c>
      <c r="G45" s="7">
        <v>0</v>
      </c>
      <c r="I45" s="7">
        <v>1</v>
      </c>
      <c r="J45" s="7">
        <v>1</v>
      </c>
      <c r="K45" s="7">
        <v>-1</v>
      </c>
      <c r="L45" s="7">
        <v>1</v>
      </c>
      <c r="M45" s="7">
        <v>1</v>
      </c>
      <c r="N45" s="7">
        <v>1</v>
      </c>
      <c r="O45" s="7">
        <v>-1</v>
      </c>
      <c r="P45" s="7">
        <v>7.000327102810413</v>
      </c>
    </row>
    <row r="46" spans="1:16" s="7" customFormat="1">
      <c r="A46" s="22">
        <v>0</v>
      </c>
      <c r="B46" s="7" t="s">
        <v>284</v>
      </c>
      <c r="D46" s="7" t="s">
        <v>30</v>
      </c>
      <c r="E46" s="7" t="s">
        <v>274</v>
      </c>
      <c r="F46" s="7">
        <v>1</v>
      </c>
      <c r="G46" s="7">
        <v>0</v>
      </c>
      <c r="I46" s="7">
        <v>1</v>
      </c>
      <c r="J46" s="7">
        <v>1</v>
      </c>
      <c r="K46" s="7">
        <v>-1</v>
      </c>
      <c r="L46" s="7">
        <v>-1</v>
      </c>
      <c r="M46" s="7">
        <v>-1</v>
      </c>
      <c r="N46" s="7">
        <v>1</v>
      </c>
      <c r="O46" s="7">
        <v>-1</v>
      </c>
      <c r="P46" s="7">
        <v>7.000327102810413</v>
      </c>
    </row>
    <row r="47" spans="1:16" s="7" customFormat="1">
      <c r="A47" s="22"/>
    </row>
    <row r="48" spans="1:16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>
      <c r="A52" s="22"/>
    </row>
    <row r="53" spans="1:1" s="7" customFormat="1">
      <c r="A53" s="22"/>
    </row>
    <row r="54" spans="1:1" s="7" customFormat="1" ht="14.25" customHeight="1">
      <c r="A54" s="22"/>
    </row>
    <row r="55" spans="1:1" s="7" customFormat="1" ht="16.5" customHeight="1">
      <c r="A55" s="22"/>
    </row>
    <row r="56" spans="1:1" s="7" customFormat="1" ht="17.25" customHeigh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 s="7" customFormat="1">
      <c r="A77" s="22"/>
    </row>
    <row r="78" spans="1:4" s="7" customFormat="1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  <row r="91" spans="1:1">
      <c r="A91" s="22"/>
    </row>
    <row r="92" spans="1:1">
      <c r="A92" s="22"/>
    </row>
  </sheetData>
  <autoFilter ref="A9:BH78" xr:uid="{00000000-0001-0000-0E00-000000000000}"/>
  <sortState xmlns:xlrd2="http://schemas.microsoft.com/office/spreadsheetml/2017/richdata2" ref="A10:BH78">
    <sortCondition ref="B10:B78"/>
  </sortState>
  <mergeCells count="1">
    <mergeCell ref="R6:AE6"/>
  </mergeCells>
  <phoneticPr fontId="34" type="noConversion"/>
  <conditionalFormatting sqref="A79:A1048576 A1:A9">
    <cfRule type="iconSet" priority="760">
      <iconSet>
        <cfvo type="percent" val="0"/>
        <cfvo type="percent" val="33"/>
        <cfvo type="percent" val="67"/>
      </iconSet>
    </cfRule>
  </conditionalFormatting>
  <conditionalFormatting sqref="A74 A77">
    <cfRule type="iconSet" priority="41">
      <iconSet>
        <cfvo type="percent" val="0"/>
        <cfvo type="percent" val="33"/>
        <cfvo type="percent" val="67"/>
      </iconSet>
    </cfRule>
  </conditionalFormatting>
  <conditionalFormatting sqref="A75 A78">
    <cfRule type="iconSet" priority="35">
      <iconSet>
        <cfvo type="percent" val="0"/>
        <cfvo type="percent" val="33"/>
        <cfvo type="percent" val="67"/>
      </iconSet>
    </cfRule>
  </conditionalFormatting>
  <conditionalFormatting sqref="A74:A78">
    <cfRule type="iconSet" priority="29">
      <iconSet>
        <cfvo type="percent" val="0"/>
        <cfvo type="percent" val="33"/>
        <cfvo type="percent" val="67"/>
      </iconSet>
    </cfRule>
  </conditionalFormatting>
  <conditionalFormatting sqref="A74:A78">
    <cfRule type="iconSet" priority="28">
      <iconSet>
        <cfvo type="percent" val="0"/>
        <cfvo type="percent" val="33"/>
        <cfvo type="percent" val="67"/>
      </iconSet>
    </cfRule>
  </conditionalFormatting>
  <conditionalFormatting sqref="A74:A78">
    <cfRule type="iconSet" priority="27">
      <iconSet>
        <cfvo type="percent" val="0"/>
        <cfvo type="percent" val="33"/>
        <cfvo type="percent" val="67"/>
      </iconSet>
    </cfRule>
  </conditionalFormatting>
  <conditionalFormatting sqref="A74:A78">
    <cfRule type="iconSet" priority="26">
      <iconSet>
        <cfvo type="percent" val="0"/>
        <cfvo type="percent" val="33"/>
        <cfvo type="percent" val="67"/>
      </iconSet>
    </cfRule>
  </conditionalFormatting>
  <conditionalFormatting sqref="A74:A78">
    <cfRule type="iconSet" priority="25">
      <iconSet>
        <cfvo type="percent" val="0"/>
        <cfvo type="percent" val="33"/>
        <cfvo type="percent" val="67"/>
      </iconSet>
    </cfRule>
  </conditionalFormatting>
  <conditionalFormatting sqref="A74:A78">
    <cfRule type="iconSet" priority="30">
      <iconSet>
        <cfvo type="percent" val="0"/>
        <cfvo type="percent" val="33"/>
        <cfvo type="percent" val="67"/>
      </iconSet>
    </cfRule>
  </conditionalFormatting>
  <conditionalFormatting sqref="A11">
    <cfRule type="iconSet" priority="17">
      <iconSet>
        <cfvo type="percent" val="0"/>
        <cfvo type="percent" val="33"/>
        <cfvo type="percent" val="67"/>
      </iconSet>
    </cfRule>
  </conditionalFormatting>
  <conditionalFormatting sqref="A32:A46">
    <cfRule type="iconSet" priority="16">
      <iconSet>
        <cfvo type="percent" val="0"/>
        <cfvo type="percent" val="33"/>
        <cfvo type="percent" val="67"/>
      </iconSet>
    </cfRule>
  </conditionalFormatting>
  <conditionalFormatting sqref="A33">
    <cfRule type="iconSet" priority="15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9">
      <iconSet>
        <cfvo type="percent" val="0"/>
        <cfvo type="percent" val="33"/>
        <cfvo type="percent" val="67"/>
      </iconSet>
    </cfRule>
  </conditionalFormatting>
  <conditionalFormatting sqref="A17:A20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11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0:A92">
    <cfRule type="iconSet" priority="854">
      <iconSet>
        <cfvo type="percent" val="0"/>
        <cfvo type="percent" val="33"/>
        <cfvo type="percent" val="67"/>
      </iconSet>
    </cfRule>
  </conditionalFormatting>
  <conditionalFormatting sqref="A13:A78">
    <cfRule type="iconSet" priority="856">
      <iconSet>
        <cfvo type="percent" val="0"/>
        <cfvo type="percent" val="33"/>
        <cfvo type="percent" val="67"/>
      </iconSet>
    </cfRule>
  </conditionalFormatting>
  <conditionalFormatting sqref="A10:A78">
    <cfRule type="iconSet" priority="858">
      <iconSet>
        <cfvo type="percent" val="0"/>
        <cfvo type="percent" val="33"/>
        <cfvo type="percent" val="67"/>
      </iconSet>
    </cfRule>
  </conditionalFormatting>
  <conditionalFormatting sqref="A10:A46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28:H78 H10:H27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D28:D78 D10:D27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2022-07-20T11:38:10Z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