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AA40A04-6A01-4563-B0BF-AA42B4E741DC}" xr6:coauthVersionLast="45" xr6:coauthVersionMax="45" xr10:uidLastSave="{00000000-0000-0000-0000-000000000000}"/>
  <bookViews>
    <workbookView xWindow="735" yWindow="750" windowWidth="2625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60" r:id="rId9"/>
    <pivotCache cacheId="66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3" i="33" l="1"/>
  <c r="O13" i="33"/>
  <c r="K9" i="33"/>
  <c r="L9" i="33"/>
  <c r="M9" i="33"/>
  <c r="N9" i="33"/>
  <c r="O9" i="33"/>
  <c r="K10" i="33"/>
  <c r="L10" i="33"/>
  <c r="M10" i="33"/>
  <c r="N10" i="33"/>
  <c r="O10" i="33"/>
  <c r="K11" i="33"/>
  <c r="L11" i="33"/>
  <c r="M11" i="33"/>
  <c r="N11" i="33"/>
  <c r="O11" i="33"/>
  <c r="K12" i="33"/>
  <c r="L12" i="33"/>
  <c r="M12" i="33"/>
  <c r="N12" i="33"/>
  <c r="O12" i="33"/>
  <c r="H12" i="33"/>
  <c r="H11" i="33"/>
  <c r="H10" i="33"/>
  <c r="Q12" i="33"/>
  <c r="K13" i="33" l="1"/>
  <c r="L13" i="33"/>
  <c r="M13" i="33"/>
  <c r="N13" i="33"/>
  <c r="H9" i="33" l="1"/>
  <c r="L8" i="33"/>
  <c r="M8" i="33"/>
  <c r="N8" i="33"/>
  <c r="O8" i="33"/>
  <c r="K8" i="33"/>
  <c r="H8" i="33"/>
  <c r="C18" i="4" l="1"/>
  <c r="Q10" i="33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Q9" i="33" l="1"/>
  <c r="Q11" i="33"/>
  <c r="Q8" i="33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</commentList>
</comments>
</file>

<file path=xl/sharedStrings.xml><?xml version="1.0" encoding="utf-8"?>
<sst xmlns="http://schemas.openxmlformats.org/spreadsheetml/2006/main" count="348" uniqueCount="207">
  <si>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</si>
  <si>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</si>
  <si>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</si>
  <si>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</si>
  <si>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</si>
  <si>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</si>
  <si>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</si>
  <si>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</si>
  <si>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</si>
  <si>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</si>
  <si>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</si>
  <si>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</si>
  <si>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</si>
  <si>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</si>
  <si>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</si>
  <si>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</si>
  <si>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</si>
  <si>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</si>
  <si>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</si>
  <si>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</si>
  <si>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</si>
  <si>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</si>
  <si>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</si>
  <si>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</si>
  <si>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</si>
  <si>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</si>
  <si>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</si>
  <si>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</si>
  <si>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</si>
  <si>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</si>
  <si>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</si>
  <si>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</si>
  <si>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RUNZERO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</si>
  <si>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</si>
  <si>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</si>
  <si>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</si>
  <si>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</si>
  <si>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</si>
  <si>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</si>
  <si>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</si>
  <si>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</si>
  <si>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</si>
  <si>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</si>
  <si>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</si>
  <si>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</si>
  <si>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</si>
  <si>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</si>
  <si>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</si>
  <si>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</si>
  <si>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</si>
  <si>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</si>
  <si>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</si>
  <si>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</si>
  <si>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</si>
  <si>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</si>
  <si>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</si>
  <si>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</si>
  <si>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</si>
  <si>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</si>
  <si>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</si>
  <si>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</si>
  <si>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</si>
  <si>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</si>
  <si>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</si>
  <si>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</si>
  <si>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</si>
  <si>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</si>
  <si>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</si>
  <si>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</si>
  <si>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</si>
  <si>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</si>
  <si>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</si>
  <si>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</si>
  <si>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</si>
  <si>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</si>
  <si>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</si>
  <si>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</si>
  <si>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</si>
  <si>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</si>
  <si>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</si>
  <si>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</si>
  <si>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</si>
  <si>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</si>
  <si>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</si>
  <si>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</si>
  <si>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</si>
  <si>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</si>
  <si>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</si>
  <si>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</si>
  <si>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</si>
  <si>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</si>
  <si>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</si>
  <si>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</si>
  <si>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</si>
  <si>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</si>
  <si>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</si>
  <si>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</si>
  <si>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</si>
  <si>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</si>
  <si>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</si>
  <si>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</si>
  <si>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</si>
  <si>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</si>
  <si>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</si>
  <si>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</si>
  <si>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</si>
  <si>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</si>
  <si>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</si>
  <si>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</si>
  <si>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</si>
  <si>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</si>
  <si>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</si>
  <si>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</si>
  <si>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</si>
  <si>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</si>
  <si>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</si>
  <si>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</si>
  <si>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</si>
  <si>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</si>
  <si>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</si>
  <si>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</si>
  <si>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</si>
  <si>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</si>
  <si>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</si>
  <si>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</si>
  <si>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</si>
  <si>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</si>
  <si>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</si>
  <si>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</si>
  <si>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</si>
  <si>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</si>
  <si>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</si>
  <si>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</si>
  <si>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</si>
  <si>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</si>
  <si>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</si>
  <si>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</si>
  <si>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</si>
  <si>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</si>
  <si>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</si>
  <si>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</si>
  <si>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</si>
  <si>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</si>
  <si>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</si>
  <si>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</si>
  <si>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</si>
  <si>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</si>
  <si>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</si>
  <si>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</si>
  <si>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</si>
  <si>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</si>
  <si>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</si>
  <si>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</si>
  <si>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</si>
  <si>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</si>
  <si>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</si>
  <si>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</si>
  <si>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</si>
  <si>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</si>
  <si>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</si>
  <si>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</si>
  <si>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</si>
  <si>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</si>
  <si>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</si>
  <si>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</si>
  <si>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</si>
  <si>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</si>
  <si>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</si>
  <si>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</si>
  <si>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</si>
  <si>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</si>
  <si>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</si>
  <si>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</si>
  <si>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</si>
  <si>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</si>
  <si>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</si>
  <si>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</si>
  <si>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</si>
  <si>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</si>
  <si>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</si>
  <si>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</si>
  <si>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</si>
  <si>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RUNCOAL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</si>
  <si>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</si>
  <si>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</si>
  <si>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</si>
  <si>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</si>
  <si>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</si>
  <si>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</si>
  <si>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</si>
  <si>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</si>
  <si>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</si>
  <si>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</si>
  <si>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</si>
  <si>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</si>
  <si>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</si>
  <si>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</si>
  <si>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</si>
  <si>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</si>
  <si>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</si>
  <si>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CPAMS-HiGr</t>
  </si>
  <si>
    <t>CPAMS-REProg</t>
  </si>
  <si>
    <t>CPAMS-HIGrREProg</t>
  </si>
  <si>
    <t>CPAMSREPROG</t>
  </si>
  <si>
    <t>(blank)</t>
  </si>
  <si>
    <t>NoPAMS</t>
  </si>
  <si>
    <t>NoPAMS-HiGr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</si>
</sst>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50.553702314814" createdVersion="6" refreshedVersion="6" minRefreshableVersion="3" recordCount="7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unt="11">
        <s v="NoPAMS"/>
        <s v="CPAMS"/>
        <s v="CPAMS-HiGr"/>
        <s v="CPAMS-REProg"/>
        <s v="CPAMS-HIGrREProg"/>
        <s v="NoPAMS-HiGr"/>
        <m/>
        <s v="CentralPAMSnoCoal" u="1"/>
        <s v="NoPAMSForcedCoal" u="1"/>
        <s v="Run0" u="1"/>
        <s v="CentralPAMS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2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50.553702430552" createdVersion="6" refreshedVersion="6" minRefreshableVersion="3" recordCount="7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unt="8">
        <s v="NoPAMS"/>
        <s v="CPAMS"/>
        <s v="CPAMS-HiGr"/>
        <s v="CPAMS-REProg"/>
        <s v="CPAMS-HIGrREProg"/>
        <s v="NoPAMS-HiGr"/>
        <m/>
        <s v="Run0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 count="3">
        <s v="base"/>
        <s v="sim2"/>
        <m/>
      </sharedItems>
    </cacheField>
    <cacheField name="SATIM (TIMES) Case" numFmtId="0">
      <sharedItems containsBlank="1" count="5">
        <s v="RUNZERO"/>
        <s v="CPAMSIRP"/>
        <s v="CPAMSREPROG"/>
        <s v="RUNCOAL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2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m/>
    <s v="base"/>
    <s v="RUNZERO"/>
    <n v="1"/>
    <n v="1"/>
    <s v="No Pams"/>
    <n v="1"/>
    <n v="1"/>
    <n v="-1"/>
    <n v="-1"/>
    <n v="-1"/>
    <n v="1"/>
    <n v="3"/>
    <n v="100"/>
  </r>
  <r>
    <n v="1"/>
    <x v="1"/>
    <m/>
    <s v="base"/>
    <s v="CPAMSIRP"/>
    <n v="1"/>
    <n v="1"/>
    <s v="Base Pams"/>
    <n v="1"/>
    <n v="1"/>
    <n v="1"/>
    <n v="2"/>
    <n v="1"/>
    <n v="2"/>
    <n v="1"/>
    <n v="100"/>
  </r>
  <r>
    <n v="1"/>
    <x v="2"/>
    <m/>
    <s v="sim2"/>
    <s v="CPAMSIRP"/>
    <n v="1"/>
    <n v="1"/>
    <s v="Base Pams"/>
    <n v="1"/>
    <n v="1"/>
    <n v="1"/>
    <n v="2"/>
    <n v="1"/>
    <n v="2"/>
    <n v="1"/>
    <n v="100"/>
  </r>
  <r>
    <n v="1"/>
    <x v="3"/>
    <m/>
    <s v="base"/>
    <s v="CPAMSREPROG"/>
    <n v="1"/>
    <n v="1"/>
    <s v="Base Pams"/>
    <n v="1"/>
    <n v="1"/>
    <n v="1"/>
    <n v="2"/>
    <n v="1"/>
    <n v="2"/>
    <n v="1"/>
    <n v="100"/>
  </r>
  <r>
    <n v="1"/>
    <x v="4"/>
    <m/>
    <s v="sim2"/>
    <s v="CPAMSREPROG"/>
    <n v="1"/>
    <n v="1"/>
    <s v="Base Pams"/>
    <n v="1"/>
    <n v="1"/>
    <n v="1"/>
    <n v="2"/>
    <n v="1"/>
    <n v="2"/>
    <n v="1"/>
    <n v="100"/>
  </r>
  <r>
    <n v="1"/>
    <x v="5"/>
    <m/>
    <s v="sim2"/>
    <s v="RUNCOAL"/>
    <n v="1"/>
    <n v="1"/>
    <s v="Lim Pams"/>
    <n v="1"/>
    <n v="1"/>
    <n v="-1"/>
    <n v="4"/>
    <n v="2"/>
    <n v="1"/>
    <n v="3"/>
    <n v="100"/>
  </r>
  <r>
    <m/>
    <x v="6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m/>
    <x v="0"/>
    <x v="0"/>
    <n v="1"/>
    <n v="1"/>
    <s v="No Pams"/>
    <n v="1"/>
    <n v="1"/>
    <n v="-1"/>
    <n v="-1"/>
    <n v="-1"/>
    <n v="1"/>
    <n v="3"/>
    <n v="100"/>
  </r>
  <r>
    <n v="1"/>
    <x v="1"/>
    <m/>
    <x v="0"/>
    <x v="1"/>
    <n v="1"/>
    <n v="1"/>
    <s v="Base Pams"/>
    <n v="1"/>
    <n v="1"/>
    <n v="1"/>
    <n v="2"/>
    <n v="1"/>
    <n v="2"/>
    <n v="1"/>
    <n v="100"/>
  </r>
  <r>
    <n v="1"/>
    <x v="2"/>
    <m/>
    <x v="1"/>
    <x v="1"/>
    <n v="1"/>
    <n v="1"/>
    <s v="Base Pams"/>
    <n v="1"/>
    <n v="1"/>
    <n v="1"/>
    <n v="2"/>
    <n v="1"/>
    <n v="2"/>
    <n v="1"/>
    <n v="100"/>
  </r>
  <r>
    <n v="1"/>
    <x v="3"/>
    <m/>
    <x v="0"/>
    <x v="2"/>
    <n v="1"/>
    <n v="1"/>
    <s v="Base Pams"/>
    <n v="1"/>
    <n v="1"/>
    <n v="1"/>
    <n v="2"/>
    <n v="1"/>
    <n v="2"/>
    <n v="1"/>
    <n v="100"/>
  </r>
  <r>
    <n v="1"/>
    <x v="4"/>
    <m/>
    <x v="1"/>
    <x v="2"/>
    <n v="1"/>
    <n v="1"/>
    <s v="Base Pams"/>
    <n v="1"/>
    <n v="1"/>
    <n v="1"/>
    <n v="2"/>
    <n v="1"/>
    <n v="2"/>
    <n v="1"/>
    <n v="100"/>
  </r>
  <r>
    <n v="1"/>
    <x v="5"/>
    <m/>
    <x v="1"/>
    <x v="3"/>
    <n v="1"/>
    <n v="1"/>
    <s v="Lim Pams"/>
    <n v="1"/>
    <n v="1"/>
    <n v="-1"/>
    <n v="4"/>
    <n v="2"/>
    <n v="1"/>
    <n v="3"/>
    <n v="100"/>
  </r>
  <r>
    <m/>
    <x v="6"/>
    <m/>
    <x v="2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1"/>
        <item x="2"/>
        <item x="3"/>
        <item x="4"/>
        <item x="6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7">
    <i>
      <x v="1"/>
      <x/>
    </i>
    <i>
      <x v="2"/>
      <x v="1"/>
    </i>
    <i>
      <x v="3"/>
      <x/>
    </i>
    <i>
      <x v="4"/>
      <x v="1"/>
    </i>
    <i>
      <x v="5"/>
      <x v="2"/>
    </i>
    <i>
      <x v="6"/>
      <x/>
    </i>
    <i>
      <x v="7"/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65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3" firstHeaderRow="1" firstDataRow="1" firstDataCol="1"/>
  <pivotFields count="16">
    <pivotField dataField="1" showAll="0"/>
    <pivotField axis="axisRow" showAll="0" sortType="ascending">
      <items count="9">
        <item x="1"/>
        <item x="2"/>
        <item x="4"/>
        <item x="3"/>
        <item x="0"/>
        <item x="5"/>
        <item m="1" x="7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3" firstHeaderRow="0" firstDataRow="1" firstDataCol="1"/>
  <pivotFields count="16">
    <pivotField showAll="0"/>
    <pivotField axis="axisRow" showAll="0">
      <items count="9">
        <item m="1" x="7"/>
        <item x="1"/>
        <item x="2"/>
        <item x="3"/>
        <item x="4"/>
        <item x="6"/>
        <item x="0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6">
        <item x="0"/>
        <item x="1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60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3" firstHeaderRow="1" firstDataRow="1" firstDataCol="1"/>
  <pivotFields count="16">
    <pivotField showAll="0"/>
    <pivotField axis="axisRow" showAll="0" sortType="ascending">
      <items count="12">
        <item m="1" x="10"/>
        <item m="1" x="7"/>
        <item x="1"/>
        <item x="2"/>
        <item x="4"/>
        <item x="3"/>
        <item x="0"/>
        <item m="1" x="8"/>
        <item x="5"/>
        <item m="1" x="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2"/>
    </i>
    <i>
      <x v="3"/>
    </i>
    <i>
      <x v="4"/>
    </i>
    <i>
      <x v="5"/>
    </i>
    <i>
      <x v="6"/>
    </i>
    <i>
      <x v="8"/>
    </i>
    <i>
      <x v="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1"/>
        <item x="2"/>
        <item x="3"/>
        <item x="4"/>
        <item x="6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7">
    <i>
      <x v="1"/>
      <x v="1"/>
    </i>
    <i>
      <x v="2"/>
      <x v="1"/>
    </i>
    <i>
      <x v="3"/>
      <x v="2"/>
    </i>
    <i>
      <x v="4"/>
      <x v="2"/>
    </i>
    <i>
      <x v="5"/>
      <x v="3"/>
    </i>
    <i>
      <x v="6"/>
      <x/>
    </i>
    <i>
      <x v="7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3" firstHeaderRow="1" firstDataRow="1" firstDataCol="1"/>
  <pivotFields count="16">
    <pivotField showAll="0"/>
    <pivotField axis="axisRow" showAll="0">
      <items count="9">
        <item m="1" x="7"/>
        <item x="1"/>
        <item x="2"/>
        <item x="3"/>
        <item x="4"/>
        <item x="6"/>
        <item x="0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3" firstHeaderRow="1" firstDataRow="1" firstDataCol="1"/>
  <pivotFields count="16">
    <pivotField showAll="0"/>
    <pivotField axis="axisRow" showAll="0">
      <items count="9">
        <item m="1" x="7"/>
        <item x="1"/>
        <item x="2"/>
        <item x="3"/>
        <item x="4"/>
        <item x="6"/>
        <item x="0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workbookViewId="0">
      <selection activeCell="D18" sqref="D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62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59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66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61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63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60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56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57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166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workbookViewId="0">
      <selection activeCell="B6" sqref="A6:B6"/>
    </sheetView>
  </sheetViews>
  <sheetFormatPr defaultRowHeight="15"/>
  <cols>
    <col min="1" max="1" width="18.28515625" bestFit="1" customWidth="1"/>
    <col min="2" max="2" width="14.5703125" style="9" bestFit="1" customWidth="1"/>
    <col min="3" max="4" width="13.140625" style="9" customWidth="1"/>
    <col min="5" max="5" width="18.28515625" style="9" bestFit="1" customWidth="1"/>
    <col min="6" max="6" width="23" style="9" bestFit="1" customWidth="1"/>
    <col min="7" max="7" width="18.28515625" style="9" bestFit="1" customWidth="1"/>
    <col min="8" max="8" width="19.85546875" style="9" bestFit="1" customWidth="1"/>
    <col min="9" max="9" width="18.28515625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18.28515625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8</v>
      </c>
      <c r="B5" s="1" t="s">
        <v>42</v>
      </c>
      <c r="C5" s="1" t="s">
        <v>47</v>
      </c>
      <c r="D5" s="1" t="s">
        <v>65</v>
      </c>
      <c r="E5" s="1" t="s">
        <v>44</v>
      </c>
      <c r="G5" s="1" t="s">
        <v>67</v>
      </c>
      <c r="I5" s="1" t="s">
        <v>68</v>
      </c>
      <c r="K5" s="1" t="s">
        <v>69</v>
      </c>
      <c r="M5" s="1" t="s">
        <v>70</v>
      </c>
      <c r="O5" s="1" t="s">
        <v>166</v>
      </c>
      <c r="V5" s="1" t="s">
        <v>55</v>
      </c>
      <c r="W5" s="1" t="s">
        <v>58</v>
      </c>
      <c r="AE5" s="1" t="s">
        <v>28</v>
      </c>
    </row>
    <row r="6" spans="1:31">
      <c r="A6" s="14" t="s">
        <v>35</v>
      </c>
      <c r="B6" s="14" t="s">
        <v>35</v>
      </c>
      <c r="D6" s="14" t="s">
        <v>35</v>
      </c>
      <c r="E6" s="14" t="s">
        <v>35</v>
      </c>
      <c r="F6" t="s">
        <v>43</v>
      </c>
      <c r="G6" s="14" t="s">
        <v>35</v>
      </c>
      <c r="H6" t="s">
        <v>46</v>
      </c>
      <c r="I6" s="14" t="s">
        <v>35</v>
      </c>
      <c r="J6" t="s">
        <v>45</v>
      </c>
      <c r="K6" s="14" t="s">
        <v>37</v>
      </c>
      <c r="L6" s="14" t="s">
        <v>29</v>
      </c>
      <c r="M6" s="14" t="s">
        <v>37</v>
      </c>
      <c r="N6" s="14" t="s">
        <v>30</v>
      </c>
      <c r="O6" s="14" t="s">
        <v>35</v>
      </c>
      <c r="P6" s="9" t="s">
        <v>189</v>
      </c>
      <c r="Q6" s="9" t="s">
        <v>190</v>
      </c>
      <c r="R6" s="9" t="s">
        <v>191</v>
      </c>
      <c r="S6" s="9" t="s">
        <v>192</v>
      </c>
      <c r="T6" s="9" t="s">
        <v>41</v>
      </c>
      <c r="V6" s="16" t="s">
        <v>56</v>
      </c>
      <c r="W6" s="16" t="s">
        <v>57</v>
      </c>
      <c r="Z6" s="9"/>
    </row>
    <row r="7" spans="1:31">
      <c r="A7" s="15" t="s">
        <v>199</v>
      </c>
      <c r="B7" s="15" t="s">
        <v>32</v>
      </c>
      <c r="C7" s="14" t="s">
        <v>31</v>
      </c>
      <c r="D7" s="15" t="s">
        <v>31</v>
      </c>
      <c r="E7" s="15" t="s">
        <v>199</v>
      </c>
      <c r="F7" s="3">
        <v>1</v>
      </c>
      <c r="G7" s="15" t="s">
        <v>199</v>
      </c>
      <c r="H7" s="3">
        <v>1</v>
      </c>
      <c r="I7" s="15" t="s">
        <v>199</v>
      </c>
      <c r="J7" s="3">
        <v>1</v>
      </c>
      <c r="K7" s="9" t="s">
        <v>199</v>
      </c>
      <c r="L7" s="9" t="s">
        <v>198</v>
      </c>
      <c r="M7" s="9" t="s">
        <v>199</v>
      </c>
      <c r="N7" s="9" t="s">
        <v>31</v>
      </c>
      <c r="O7" s="15" t="s">
        <v>199</v>
      </c>
      <c r="P7" s="3">
        <v>1</v>
      </c>
      <c r="Q7" s="3">
        <v>2</v>
      </c>
      <c r="R7" s="3">
        <v>1</v>
      </c>
      <c r="S7" s="3">
        <v>2</v>
      </c>
      <c r="T7" s="3">
        <v>1</v>
      </c>
      <c r="U7" s="3"/>
      <c r="V7" s="16">
        <v>2012</v>
      </c>
      <c r="W7" s="16">
        <f>2051-Scenarios!G6</f>
        <v>2048</v>
      </c>
      <c r="Z7" s="9"/>
      <c r="AA7" s="9"/>
      <c r="AB7" s="9"/>
      <c r="AE7" t="s">
        <v>15</v>
      </c>
    </row>
    <row r="8" spans="1:31">
      <c r="A8" s="15" t="s">
        <v>200</v>
      </c>
      <c r="B8" s="15" t="s">
        <v>198</v>
      </c>
      <c r="C8" s="15" t="s">
        <v>33</v>
      </c>
      <c r="D8" s="15" t="s">
        <v>34</v>
      </c>
      <c r="E8" s="15" t="s">
        <v>200</v>
      </c>
      <c r="F8" s="3">
        <v>1</v>
      </c>
      <c r="G8" s="15" t="s">
        <v>200</v>
      </c>
      <c r="H8" s="3">
        <v>1</v>
      </c>
      <c r="I8" s="15" t="s">
        <v>200</v>
      </c>
      <c r="J8" s="3">
        <v>1</v>
      </c>
      <c r="K8" s="9" t="s">
        <v>200</v>
      </c>
      <c r="L8" s="9" t="s">
        <v>198</v>
      </c>
      <c r="M8" s="9" t="s">
        <v>200</v>
      </c>
      <c r="N8" s="9" t="s">
        <v>34</v>
      </c>
      <c r="O8" s="15" t="s">
        <v>200</v>
      </c>
      <c r="P8" s="3">
        <v>1</v>
      </c>
      <c r="Q8" s="3">
        <v>2</v>
      </c>
      <c r="R8" s="3">
        <v>1</v>
      </c>
      <c r="S8" s="3">
        <v>2</v>
      </c>
      <c r="T8" s="3">
        <v>1</v>
      </c>
      <c r="U8" s="3"/>
      <c r="V8" s="16">
        <v>2013</v>
      </c>
      <c r="W8" s="16">
        <f>IF(OR(W7=2050,W7=""),"",W7+1)</f>
        <v>2049</v>
      </c>
      <c r="Z8" s="9"/>
      <c r="AA8" s="9"/>
      <c r="AB8" s="9"/>
      <c r="AE8" s="9" t="s">
        <v>16</v>
      </c>
    </row>
    <row r="9" spans="1:31">
      <c r="A9" s="15" t="s">
        <v>202</v>
      </c>
      <c r="B9" s="15" t="s">
        <v>203</v>
      </c>
      <c r="C9" s="15" t="s">
        <v>34</v>
      </c>
      <c r="D9" s="15" t="s">
        <v>204</v>
      </c>
      <c r="E9" s="15" t="s">
        <v>202</v>
      </c>
      <c r="F9" s="3">
        <v>1</v>
      </c>
      <c r="G9" s="15" t="s">
        <v>201</v>
      </c>
      <c r="H9" s="3">
        <v>1</v>
      </c>
      <c r="I9" s="15" t="s">
        <v>201</v>
      </c>
      <c r="J9" s="3">
        <v>1</v>
      </c>
      <c r="K9" s="9" t="s">
        <v>201</v>
      </c>
      <c r="L9" s="9" t="s">
        <v>203</v>
      </c>
      <c r="M9" s="9" t="s">
        <v>201</v>
      </c>
      <c r="N9" s="9" t="s">
        <v>31</v>
      </c>
      <c r="O9" s="15" t="s">
        <v>201</v>
      </c>
      <c r="P9" s="3">
        <v>1</v>
      </c>
      <c r="Q9" s="3">
        <v>2</v>
      </c>
      <c r="R9" s="3">
        <v>1</v>
      </c>
      <c r="S9" s="3">
        <v>2</v>
      </c>
      <c r="T9" s="3">
        <v>1</v>
      </c>
      <c r="U9" s="3"/>
      <c r="V9" s="16">
        <v>2014</v>
      </c>
      <c r="W9" s="16">
        <f t="shared" ref="W9:W13" si="0">IF(OR(W8=2050,W8=""),"",W8+1)</f>
        <v>2050</v>
      </c>
      <c r="Z9" s="9"/>
      <c r="AA9" s="9"/>
      <c r="AB9" s="9"/>
      <c r="AE9" s="9" t="s">
        <v>17</v>
      </c>
    </row>
    <row r="10" spans="1:31">
      <c r="A10" s="15" t="s">
        <v>201</v>
      </c>
      <c r="B10" s="15" t="s">
        <v>204</v>
      </c>
      <c r="C10" s="15" t="s">
        <v>48</v>
      </c>
      <c r="D10"/>
      <c r="E10" s="15" t="s">
        <v>201</v>
      </c>
      <c r="F10" s="3">
        <v>1</v>
      </c>
      <c r="G10" s="15" t="s">
        <v>202</v>
      </c>
      <c r="H10" s="3">
        <v>1</v>
      </c>
      <c r="I10" s="15" t="s">
        <v>202</v>
      </c>
      <c r="J10" s="3">
        <v>1</v>
      </c>
      <c r="K10" s="9" t="s">
        <v>202</v>
      </c>
      <c r="L10" s="9" t="s">
        <v>203</v>
      </c>
      <c r="M10" s="9" t="s">
        <v>202</v>
      </c>
      <c r="N10" s="9" t="s">
        <v>34</v>
      </c>
      <c r="O10" s="15" t="s">
        <v>202</v>
      </c>
      <c r="P10" s="3">
        <v>1</v>
      </c>
      <c r="Q10" s="3">
        <v>2</v>
      </c>
      <c r="R10" s="3">
        <v>1</v>
      </c>
      <c r="S10" s="3">
        <v>2</v>
      </c>
      <c r="T10" s="3">
        <v>1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18</v>
      </c>
    </row>
    <row r="11" spans="1:31">
      <c r="A11" s="15" t="s">
        <v>205</v>
      </c>
      <c r="B11" s="15" t="s">
        <v>182</v>
      </c>
      <c r="C11" s="15" t="s">
        <v>49</v>
      </c>
      <c r="D11"/>
      <c r="E11" s="15" t="s">
        <v>205</v>
      </c>
      <c r="F11" s="3">
        <v>1</v>
      </c>
      <c r="G11" s="15" t="s">
        <v>204</v>
      </c>
      <c r="H11" s="3"/>
      <c r="I11" s="15" t="s">
        <v>204</v>
      </c>
      <c r="J11" s="3"/>
      <c r="K11" s="9" t="s">
        <v>204</v>
      </c>
      <c r="L11" s="9" t="s">
        <v>204</v>
      </c>
      <c r="M11" s="9" t="s">
        <v>204</v>
      </c>
      <c r="N11" s="9" t="s">
        <v>204</v>
      </c>
      <c r="O11" s="15" t="s">
        <v>204</v>
      </c>
      <c r="P11" s="3"/>
      <c r="Q11" s="3"/>
      <c r="R11" s="3"/>
      <c r="S11" s="3"/>
      <c r="T11" s="3"/>
      <c r="V11" s="16">
        <v>2016</v>
      </c>
      <c r="W11" s="16" t="str">
        <f t="shared" si="0"/>
        <v/>
      </c>
      <c r="Z11" s="9"/>
      <c r="AA11" s="9"/>
      <c r="AB11" s="9"/>
      <c r="AE11" s="9" t="s">
        <v>19</v>
      </c>
    </row>
    <row r="12" spans="1:31">
      <c r="A12" s="15" t="s">
        <v>206</v>
      </c>
      <c r="B12"/>
      <c r="C12" s="15" t="s">
        <v>50</v>
      </c>
      <c r="D12" s="15"/>
      <c r="E12" s="15" t="s">
        <v>206</v>
      </c>
      <c r="F12" s="3">
        <v>1</v>
      </c>
      <c r="G12" s="15" t="s">
        <v>205</v>
      </c>
      <c r="H12" s="3">
        <v>1</v>
      </c>
      <c r="I12" s="15" t="s">
        <v>205</v>
      </c>
      <c r="J12" s="3">
        <v>1</v>
      </c>
      <c r="K12" s="9" t="s">
        <v>205</v>
      </c>
      <c r="L12" s="9" t="s">
        <v>32</v>
      </c>
      <c r="M12" s="9" t="s">
        <v>205</v>
      </c>
      <c r="N12" s="9" t="s">
        <v>31</v>
      </c>
      <c r="O12" s="15" t="s">
        <v>205</v>
      </c>
      <c r="P12" s="3">
        <v>-1</v>
      </c>
      <c r="Q12" s="3">
        <v>-1</v>
      </c>
      <c r="R12" s="3">
        <v>-1</v>
      </c>
      <c r="S12" s="3">
        <v>1</v>
      </c>
      <c r="T12" s="3">
        <v>3</v>
      </c>
      <c r="V12" s="16">
        <v>2017</v>
      </c>
      <c r="W12" s="16" t="str">
        <f t="shared" si="0"/>
        <v/>
      </c>
      <c r="Z12" s="9"/>
      <c r="AA12" s="9"/>
      <c r="AB12" s="9"/>
      <c r="AE12" s="9" t="s">
        <v>20</v>
      </c>
    </row>
    <row r="13" spans="1:31">
      <c r="A13" s="15" t="s">
        <v>204</v>
      </c>
      <c r="B13"/>
      <c r="C13" s="15" t="s">
        <v>51</v>
      </c>
      <c r="D13" s="15"/>
      <c r="E13" s="15" t="s">
        <v>204</v>
      </c>
      <c r="F13" s="3">
        <v>0</v>
      </c>
      <c r="G13" s="15" t="s">
        <v>206</v>
      </c>
      <c r="H13" s="3">
        <v>1</v>
      </c>
      <c r="I13" s="15" t="s">
        <v>206</v>
      </c>
      <c r="J13" s="3">
        <v>1</v>
      </c>
      <c r="K13" s="9" t="s">
        <v>206</v>
      </c>
      <c r="L13" s="9" t="s">
        <v>182</v>
      </c>
      <c r="M13" s="9" t="s">
        <v>206</v>
      </c>
      <c r="N13" s="9" t="s">
        <v>34</v>
      </c>
      <c r="O13" s="15" t="s">
        <v>206</v>
      </c>
      <c r="P13" s="3">
        <v>-1</v>
      </c>
      <c r="Q13" s="3">
        <v>4</v>
      </c>
      <c r="R13" s="3">
        <v>2</v>
      </c>
      <c r="S13" s="3">
        <v>1</v>
      </c>
      <c r="T13" s="3">
        <v>3</v>
      </c>
      <c r="V13" s="16">
        <v>2018</v>
      </c>
      <c r="W13" s="16" t="str">
        <f t="shared" si="0"/>
        <v/>
      </c>
      <c r="Z13" s="9"/>
      <c r="AA13" s="9"/>
      <c r="AB13" s="9"/>
      <c r="AE13" s="9" t="s">
        <v>21</v>
      </c>
    </row>
    <row r="14" spans="1:31">
      <c r="B14"/>
      <c r="C14" s="15" t="s">
        <v>52</v>
      </c>
      <c r="D14" s="15"/>
      <c r="E14"/>
      <c r="M14"/>
      <c r="N14"/>
      <c r="V14" s="16">
        <v>2019</v>
      </c>
      <c r="Z14" s="9"/>
      <c r="AA14" s="9"/>
      <c r="AB14" s="9"/>
      <c r="AE14" s="9" t="s">
        <v>22</v>
      </c>
    </row>
    <row r="15" spans="1:31">
      <c r="B15"/>
      <c r="C15" s="15" t="s">
        <v>53</v>
      </c>
      <c r="D15" s="15"/>
      <c r="E15"/>
      <c r="M15"/>
      <c r="N15"/>
      <c r="V15" s="16">
        <v>2020</v>
      </c>
      <c r="Z15" s="9"/>
      <c r="AA15" s="9"/>
      <c r="AB15" s="9"/>
      <c r="AE15" s="9" t="s">
        <v>23</v>
      </c>
    </row>
    <row r="16" spans="1:31">
      <c r="B16"/>
      <c r="C16" s="15" t="s">
        <v>54</v>
      </c>
      <c r="D16" s="15"/>
      <c r="E16"/>
      <c r="M16"/>
      <c r="N16"/>
      <c r="V16" s="16">
        <v>2021</v>
      </c>
      <c r="Z16" s="9"/>
      <c r="AA16" s="9"/>
      <c r="AB16" s="9"/>
      <c r="AE16" s="9" t="s">
        <v>5</v>
      </c>
    </row>
    <row r="17" spans="1:31">
      <c r="B17"/>
      <c r="E17"/>
      <c r="M17"/>
      <c r="N17"/>
      <c r="V17" s="16">
        <v>2022</v>
      </c>
      <c r="X17"/>
      <c r="Z17" s="9"/>
      <c r="AA17" s="9"/>
      <c r="AB17" s="9"/>
      <c r="AE17" s="9" t="s">
        <v>24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26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25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12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12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12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12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13"/>
  <sheetViews>
    <sheetView tabSelected="1" workbookViewId="0">
      <selection activeCell="B13" sqref="B13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9" width="11.5703125" style="9" customWidth="1"/>
    <col min="10" max="10" width="15.85546875" style="9" customWidth="1"/>
    <col min="11" max="13" width="11.5703125" style="9" customWidth="1"/>
    <col min="14" max="14" width="7" style="9" customWidth="1"/>
    <col min="15" max="15" width="8.140625" style="9" customWidth="1"/>
    <col min="16" max="16" width="11.5703125" customWidth="1"/>
    <col min="19" max="31" width="5.5703125" customWidth="1"/>
    <col min="32" max="50" width="6.42578125" customWidth="1"/>
  </cols>
  <sheetData>
    <row r="1" spans="1:51">
      <c r="B1" s="9"/>
      <c r="C1" s="9"/>
      <c r="E1" s="9"/>
      <c r="J1" s="9" t="s">
        <v>193</v>
      </c>
      <c r="K1" s="9">
        <v>-1</v>
      </c>
      <c r="L1" s="9">
        <v>-1</v>
      </c>
      <c r="M1" s="9">
        <v>-1</v>
      </c>
      <c r="N1" s="9">
        <v>1</v>
      </c>
      <c r="O1" s="9">
        <v>3</v>
      </c>
    </row>
    <row r="2" spans="1:51">
      <c r="B2" s="9"/>
      <c r="E2" s="9"/>
      <c r="J2" s="9" t="s">
        <v>194</v>
      </c>
      <c r="K2" s="9">
        <v>1</v>
      </c>
      <c r="L2" s="9">
        <v>2</v>
      </c>
      <c r="M2" s="9">
        <v>1</v>
      </c>
      <c r="N2" s="9">
        <v>2</v>
      </c>
      <c r="O2" s="9">
        <v>1</v>
      </c>
    </row>
    <row r="3" spans="1:51">
      <c r="B3" s="9"/>
      <c r="E3" s="9"/>
      <c r="J3" s="9" t="s">
        <v>195</v>
      </c>
      <c r="K3" s="9">
        <v>-1</v>
      </c>
      <c r="L3" s="9">
        <v>4</v>
      </c>
      <c r="M3" s="9">
        <v>2</v>
      </c>
      <c r="N3" s="9">
        <v>1</v>
      </c>
      <c r="O3" s="9">
        <v>3</v>
      </c>
    </row>
    <row r="4" spans="1:51">
      <c r="B4" s="9"/>
      <c r="E4" s="9"/>
      <c r="J4" s="9" t="s">
        <v>196</v>
      </c>
      <c r="K4" s="9">
        <v>1</v>
      </c>
      <c r="L4" s="9">
        <v>1</v>
      </c>
      <c r="M4" s="9">
        <v>3</v>
      </c>
      <c r="N4" s="9">
        <v>3</v>
      </c>
      <c r="O4" s="9">
        <v>2</v>
      </c>
    </row>
    <row r="5" spans="1:51" ht="45">
      <c r="A5" s="8"/>
      <c r="G5" s="10" t="s">
        <v>64</v>
      </c>
      <c r="H5" s="12"/>
      <c r="I5" s="12"/>
      <c r="J5" s="12"/>
      <c r="K5" s="12"/>
      <c r="L5" s="12"/>
      <c r="M5" s="12"/>
      <c r="N5" s="12"/>
      <c r="O5" s="12"/>
    </row>
    <row r="6" spans="1:51">
      <c r="A6" s="6"/>
      <c r="B6" s="5"/>
      <c r="D6" s="11"/>
      <c r="E6" s="4"/>
      <c r="F6" s="13"/>
      <c r="G6" s="9">
        <v>3</v>
      </c>
      <c r="H6" s="13"/>
      <c r="I6" s="13"/>
      <c r="J6" s="13"/>
      <c r="K6" s="13"/>
      <c r="L6" s="13"/>
      <c r="M6" s="13"/>
      <c r="N6" s="13"/>
      <c r="O6" s="13"/>
      <c r="R6" s="18" t="s">
        <v>27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1" ht="45">
      <c r="A7" s="7" t="s">
        <v>10</v>
      </c>
      <c r="B7" s="2" t="s">
        <v>37</v>
      </c>
      <c r="C7" s="2" t="s">
        <v>6</v>
      </c>
      <c r="D7" s="2" t="s">
        <v>30</v>
      </c>
      <c r="E7" s="2" t="s">
        <v>29</v>
      </c>
      <c r="F7" s="2" t="s">
        <v>36</v>
      </c>
      <c r="G7" s="10" t="s">
        <v>14</v>
      </c>
      <c r="H7" s="10" t="s">
        <v>197</v>
      </c>
      <c r="I7" s="10" t="s">
        <v>38</v>
      </c>
      <c r="J7" s="10" t="s">
        <v>39</v>
      </c>
      <c r="K7" s="10" t="s">
        <v>184</v>
      </c>
      <c r="L7" s="10" t="s">
        <v>185</v>
      </c>
      <c r="M7" s="10" t="s">
        <v>186</v>
      </c>
      <c r="N7" s="10" t="s">
        <v>188</v>
      </c>
      <c r="O7" s="10" t="s">
        <v>187</v>
      </c>
      <c r="P7" s="10" t="s">
        <v>13</v>
      </c>
      <c r="R7">
        <v>2018</v>
      </c>
      <c r="S7">
        <f>R7+1</f>
        <v>2019</v>
      </c>
      <c r="T7" s="9">
        <f t="shared" ref="T7:AX7" si="0">S7+1</f>
        <v>2020</v>
      </c>
      <c r="U7" s="9">
        <f t="shared" si="0"/>
        <v>2021</v>
      </c>
      <c r="V7" s="9">
        <f t="shared" si="0"/>
        <v>2022</v>
      </c>
      <c r="W7" s="9">
        <f t="shared" si="0"/>
        <v>2023</v>
      </c>
      <c r="X7" s="9">
        <f t="shared" si="0"/>
        <v>2024</v>
      </c>
      <c r="Y7" s="9">
        <f t="shared" si="0"/>
        <v>2025</v>
      </c>
      <c r="Z7" s="9">
        <f t="shared" si="0"/>
        <v>2026</v>
      </c>
      <c r="AA7" s="9">
        <f t="shared" si="0"/>
        <v>2027</v>
      </c>
      <c r="AB7" s="9">
        <f t="shared" si="0"/>
        <v>2028</v>
      </c>
      <c r="AC7" s="9">
        <f t="shared" si="0"/>
        <v>2029</v>
      </c>
      <c r="AD7" s="9">
        <f t="shared" si="0"/>
        <v>2030</v>
      </c>
      <c r="AE7" s="9">
        <f t="shared" si="0"/>
        <v>2031</v>
      </c>
      <c r="AF7" s="9">
        <f t="shared" si="0"/>
        <v>2032</v>
      </c>
      <c r="AG7" s="9">
        <f t="shared" si="0"/>
        <v>2033</v>
      </c>
      <c r="AH7" s="9">
        <f t="shared" si="0"/>
        <v>2034</v>
      </c>
      <c r="AI7" s="9">
        <f t="shared" si="0"/>
        <v>2035</v>
      </c>
      <c r="AJ7" s="9">
        <f t="shared" si="0"/>
        <v>2036</v>
      </c>
      <c r="AK7" s="9">
        <f t="shared" si="0"/>
        <v>2037</v>
      </c>
      <c r="AL7" s="9">
        <f t="shared" si="0"/>
        <v>2038</v>
      </c>
      <c r="AM7" s="9">
        <f t="shared" si="0"/>
        <v>2039</v>
      </c>
      <c r="AN7" s="9">
        <f t="shared" si="0"/>
        <v>2040</v>
      </c>
      <c r="AO7" s="9">
        <f t="shared" si="0"/>
        <v>2041</v>
      </c>
      <c r="AP7" s="9">
        <f t="shared" si="0"/>
        <v>2042</v>
      </c>
      <c r="AQ7" s="9">
        <f t="shared" si="0"/>
        <v>2043</v>
      </c>
      <c r="AR7" s="9">
        <f t="shared" si="0"/>
        <v>2044</v>
      </c>
      <c r="AS7" s="9">
        <f t="shared" si="0"/>
        <v>2045</v>
      </c>
      <c r="AT7" s="9">
        <f t="shared" si="0"/>
        <v>2046</v>
      </c>
      <c r="AU7" s="9">
        <f t="shared" si="0"/>
        <v>2047</v>
      </c>
      <c r="AV7" s="9">
        <f t="shared" si="0"/>
        <v>2048</v>
      </c>
      <c r="AW7" s="9">
        <f t="shared" si="0"/>
        <v>2049</v>
      </c>
      <c r="AX7" s="9">
        <f t="shared" si="0"/>
        <v>2050</v>
      </c>
    </row>
    <row r="8" spans="1:51" s="9" customFormat="1">
      <c r="A8" s="9">
        <v>1</v>
      </c>
      <c r="B8" s="9" t="s">
        <v>205</v>
      </c>
      <c r="D8" s="9" t="s">
        <v>31</v>
      </c>
      <c r="E8" s="9" t="s">
        <v>32</v>
      </c>
      <c r="F8" s="9">
        <v>1</v>
      </c>
      <c r="G8" s="9">
        <v>1</v>
      </c>
      <c r="H8" s="9" t="str">
        <f>J1</f>
        <v>No Pams</v>
      </c>
      <c r="I8" s="9">
        <v>1</v>
      </c>
      <c r="J8" s="9">
        <v>1</v>
      </c>
      <c r="K8" s="9">
        <f>INDEX(K$1:K$4,MATCH($H8,$J$1:$J$4,0))</f>
        <v>-1</v>
      </c>
      <c r="L8" s="9">
        <f t="shared" ref="L8:O13" si="1">INDEX(L$1:L$4,MATCH($H8,$J$1:$J$4,0))</f>
        <v>-1</v>
      </c>
      <c r="M8" s="9">
        <f t="shared" si="1"/>
        <v>-1</v>
      </c>
      <c r="N8" s="9">
        <f t="shared" si="1"/>
        <v>1</v>
      </c>
      <c r="O8" s="9">
        <f t="shared" si="1"/>
        <v>3</v>
      </c>
      <c r="P8" s="9">
        <v>100</v>
      </c>
      <c r="Q8" s="9" t="str">
        <f>B8</f>
        <v>NoPAMS</v>
      </c>
    </row>
    <row r="9" spans="1:51" s="9" customFormat="1">
      <c r="A9" s="9">
        <v>1</v>
      </c>
      <c r="B9" s="9" t="s">
        <v>199</v>
      </c>
      <c r="D9" s="9" t="s">
        <v>31</v>
      </c>
      <c r="E9" s="9" t="s">
        <v>198</v>
      </c>
      <c r="F9" s="9">
        <v>1</v>
      </c>
      <c r="G9" s="9">
        <v>1</v>
      </c>
      <c r="H9" s="9" t="str">
        <f t="shared" ref="H9:H11" si="2">J2</f>
        <v>Base Pams</v>
      </c>
      <c r="I9" s="9">
        <v>1</v>
      </c>
      <c r="J9" s="9">
        <v>1</v>
      </c>
      <c r="K9" s="9">
        <f t="shared" ref="K9:K13" si="3">INDEX(K$1:K$4,MATCH($H9,$J$1:$J$4,0))</f>
        <v>1</v>
      </c>
      <c r="L9" s="9">
        <f t="shared" si="1"/>
        <v>2</v>
      </c>
      <c r="M9" s="9">
        <f t="shared" si="1"/>
        <v>1</v>
      </c>
      <c r="N9" s="9">
        <f t="shared" si="1"/>
        <v>2</v>
      </c>
      <c r="O9" s="9">
        <f t="shared" si="1"/>
        <v>1</v>
      </c>
      <c r="P9" s="9">
        <v>100</v>
      </c>
      <c r="Q9" s="9" t="str">
        <f t="shared" ref="Q9:Q11" si="4">B9</f>
        <v>CPAMS</v>
      </c>
    </row>
    <row r="10" spans="1:51" s="9" customFormat="1">
      <c r="A10" s="9">
        <v>1</v>
      </c>
      <c r="B10" s="9" t="s">
        <v>200</v>
      </c>
      <c r="D10" s="9" t="s">
        <v>34</v>
      </c>
      <c r="E10" s="9" t="s">
        <v>198</v>
      </c>
      <c r="F10" s="9">
        <v>1</v>
      </c>
      <c r="G10" s="9">
        <v>1</v>
      </c>
      <c r="H10" s="9" t="str">
        <f>H9</f>
        <v>Base Pams</v>
      </c>
      <c r="I10" s="9">
        <v>1</v>
      </c>
      <c r="J10" s="9">
        <v>1</v>
      </c>
      <c r="K10" s="9">
        <f t="shared" si="3"/>
        <v>1</v>
      </c>
      <c r="L10" s="9">
        <f t="shared" si="1"/>
        <v>2</v>
      </c>
      <c r="M10" s="9">
        <f t="shared" si="1"/>
        <v>1</v>
      </c>
      <c r="N10" s="9">
        <f t="shared" si="1"/>
        <v>2</v>
      </c>
      <c r="O10" s="9">
        <f t="shared" si="1"/>
        <v>1</v>
      </c>
      <c r="P10" s="9">
        <v>100</v>
      </c>
      <c r="Q10" s="9" t="str">
        <f t="shared" si="4"/>
        <v>CPAMS-HiGr</v>
      </c>
      <c r="AY10" s="9" t="s">
        <v>183</v>
      </c>
    </row>
    <row r="11" spans="1:51" s="9" customFormat="1">
      <c r="A11" s="9">
        <v>1</v>
      </c>
      <c r="B11" s="9" t="s">
        <v>201</v>
      </c>
      <c r="D11" s="9" t="s">
        <v>31</v>
      </c>
      <c r="E11" s="9" t="s">
        <v>203</v>
      </c>
      <c r="F11" s="9">
        <v>1</v>
      </c>
      <c r="G11" s="9">
        <v>1</v>
      </c>
      <c r="H11" s="9" t="str">
        <f>H10</f>
        <v>Base Pams</v>
      </c>
      <c r="I11" s="9">
        <v>1</v>
      </c>
      <c r="J11" s="9">
        <v>1</v>
      </c>
      <c r="K11" s="9">
        <f t="shared" si="3"/>
        <v>1</v>
      </c>
      <c r="L11" s="9">
        <f t="shared" si="1"/>
        <v>2</v>
      </c>
      <c r="M11" s="9">
        <f t="shared" si="1"/>
        <v>1</v>
      </c>
      <c r="N11" s="9">
        <f t="shared" si="1"/>
        <v>2</v>
      </c>
      <c r="O11" s="9">
        <f t="shared" si="1"/>
        <v>1</v>
      </c>
      <c r="P11" s="9">
        <v>100</v>
      </c>
      <c r="Q11" s="9" t="str">
        <f t="shared" si="4"/>
        <v>CPAMS-REProg</v>
      </c>
    </row>
    <row r="12" spans="1:51">
      <c r="A12">
        <v>1</v>
      </c>
      <c r="B12" s="9" t="s">
        <v>202</v>
      </c>
      <c r="C12" s="9"/>
      <c r="D12" s="9" t="s">
        <v>34</v>
      </c>
      <c r="E12" s="9" t="s">
        <v>203</v>
      </c>
      <c r="F12" s="9">
        <v>1</v>
      </c>
      <c r="G12" s="9">
        <v>1</v>
      </c>
      <c r="H12" s="9" t="str">
        <f>H11</f>
        <v>Base Pams</v>
      </c>
      <c r="I12" s="9">
        <v>1</v>
      </c>
      <c r="J12" s="9">
        <v>1</v>
      </c>
      <c r="K12" s="9">
        <f t="shared" si="3"/>
        <v>1</v>
      </c>
      <c r="L12" s="9">
        <f t="shared" si="1"/>
        <v>2</v>
      </c>
      <c r="M12" s="9">
        <f t="shared" si="1"/>
        <v>1</v>
      </c>
      <c r="N12" s="9">
        <f t="shared" si="1"/>
        <v>2</v>
      </c>
      <c r="O12" s="9">
        <f t="shared" si="1"/>
        <v>1</v>
      </c>
      <c r="P12" s="9">
        <v>100</v>
      </c>
      <c r="Q12" s="9" t="str">
        <f t="shared" ref="Q12:Q13" si="5">B12</f>
        <v>CPAMS-HIGrREProg</v>
      </c>
    </row>
    <row r="13" spans="1:51" s="9" customFormat="1">
      <c r="A13" s="9">
        <v>1</v>
      </c>
      <c r="B13" s="9" t="s">
        <v>206</v>
      </c>
      <c r="D13" s="9" t="s">
        <v>34</v>
      </c>
      <c r="E13" s="9" t="s">
        <v>182</v>
      </c>
      <c r="F13" s="9">
        <v>1</v>
      </c>
      <c r="G13" s="9">
        <v>1</v>
      </c>
      <c r="H13" s="9" t="s">
        <v>195</v>
      </c>
      <c r="I13" s="9">
        <v>1</v>
      </c>
      <c r="J13" s="9">
        <v>1</v>
      </c>
      <c r="K13" s="9">
        <f t="shared" si="3"/>
        <v>-1</v>
      </c>
      <c r="L13" s="9">
        <f t="shared" si="1"/>
        <v>4</v>
      </c>
      <c r="M13" s="9">
        <f t="shared" si="1"/>
        <v>2</v>
      </c>
      <c r="N13" s="9">
        <f t="shared" si="1"/>
        <v>1</v>
      </c>
      <c r="O13" s="9">
        <f t="shared" si="1"/>
        <v>3</v>
      </c>
      <c r="P13" s="9">
        <v>100</v>
      </c>
      <c r="Q13" s="9" t="str">
        <f t="shared" si="5"/>
        <v>NoPAMS-HiGr</v>
      </c>
      <c r="AY13" s="9" t="s">
        <v>183</v>
      </c>
    </row>
  </sheetData>
  <mergeCells count="1">
    <mergeCell ref="R6:AE6"/>
  </mergeCells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dataValidations count="1">
    <dataValidation type="list" allowBlank="1" showInputMessage="1" showErrorMessage="1" sqref="H8:H13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D8:D9 D11:D12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114</v>
      </c>
      <c r="D1" s="2" t="s">
        <v>109</v>
      </c>
    </row>
    <row r="2" spans="3:8" s="9" customFormat="1">
      <c r="C2" s="2" t="s">
        <v>111</v>
      </c>
    </row>
    <row r="3" spans="3:8" s="9" customFormat="1">
      <c r="C3" s="9" t="s">
        <v>113</v>
      </c>
      <c r="D3" s="9" t="s">
        <v>110</v>
      </c>
    </row>
    <row r="4" spans="3:8" s="9" customFormat="1">
      <c r="C4" s="9" t="s">
        <v>112</v>
      </c>
      <c r="D4" s="9" t="s">
        <v>110</v>
      </c>
      <c r="H4" s="2" t="s">
        <v>119</v>
      </c>
    </row>
    <row r="5" spans="3:8" s="9" customFormat="1">
      <c r="C5" s="9" t="s">
        <v>115</v>
      </c>
      <c r="D5" s="9" t="s">
        <v>110</v>
      </c>
      <c r="H5" t="s">
        <v>120</v>
      </c>
    </row>
    <row r="6" spans="3:8" s="9" customFormat="1">
      <c r="C6" s="9" t="s">
        <v>117</v>
      </c>
      <c r="D6" s="9" t="s">
        <v>110</v>
      </c>
      <c r="H6" t="s">
        <v>121</v>
      </c>
    </row>
    <row r="7" spans="3:8" s="9" customFormat="1">
      <c r="G7" s="9" t="s">
        <v>110</v>
      </c>
      <c r="H7" t="s">
        <v>122</v>
      </c>
    </row>
    <row r="8" spans="3:8">
      <c r="C8" s="2" t="s">
        <v>98</v>
      </c>
      <c r="G8" t="s">
        <v>168</v>
      </c>
      <c r="H8" t="s">
        <v>123</v>
      </c>
    </row>
    <row r="9" spans="3:8">
      <c r="C9" t="s">
        <v>97</v>
      </c>
      <c r="G9" t="s">
        <v>174</v>
      </c>
      <c r="H9" t="s">
        <v>124</v>
      </c>
    </row>
    <row r="10" spans="3:8">
      <c r="G10" t="s">
        <v>110</v>
      </c>
      <c r="H10" t="s">
        <v>125</v>
      </c>
    </row>
    <row r="11" spans="3:8">
      <c r="C11" s="2" t="s">
        <v>118</v>
      </c>
    </row>
    <row r="12" spans="3:8">
      <c r="C12" t="s">
        <v>71</v>
      </c>
      <c r="H12" t="s">
        <v>126</v>
      </c>
    </row>
    <row r="13" spans="3:8">
      <c r="G13" t="s">
        <v>169</v>
      </c>
      <c r="H13" t="s">
        <v>127</v>
      </c>
    </row>
    <row r="14" spans="3:8">
      <c r="C14" s="2" t="s">
        <v>72</v>
      </c>
      <c r="G14" t="s">
        <v>171</v>
      </c>
      <c r="H14" t="s">
        <v>128</v>
      </c>
    </row>
    <row r="15" spans="3:8">
      <c r="C15" t="s">
        <v>73</v>
      </c>
      <c r="G15" t="s">
        <v>169</v>
      </c>
      <c r="H15" t="s">
        <v>129</v>
      </c>
    </row>
    <row r="16" spans="3:8">
      <c r="C16" t="s">
        <v>74</v>
      </c>
    </row>
    <row r="17" spans="3:8">
      <c r="C17" t="s">
        <v>75</v>
      </c>
      <c r="H17" t="s">
        <v>130</v>
      </c>
    </row>
    <row r="18" spans="3:8">
      <c r="C18" t="s">
        <v>85</v>
      </c>
      <c r="G18" s="9" t="s">
        <v>171</v>
      </c>
      <c r="H18" t="s">
        <v>131</v>
      </c>
    </row>
    <row r="19" spans="3:8">
      <c r="C19" t="s">
        <v>96</v>
      </c>
      <c r="G19" s="9" t="s">
        <v>175</v>
      </c>
      <c r="H19" t="s">
        <v>132</v>
      </c>
    </row>
    <row r="20" spans="3:8">
      <c r="C20" t="s">
        <v>100</v>
      </c>
    </row>
    <row r="21" spans="3:8">
      <c r="C21" t="s">
        <v>116</v>
      </c>
      <c r="H21" t="s">
        <v>133</v>
      </c>
    </row>
    <row r="22" spans="3:8">
      <c r="H22" t="s">
        <v>134</v>
      </c>
    </row>
    <row r="23" spans="3:8">
      <c r="C23" s="2" t="s">
        <v>76</v>
      </c>
    </row>
    <row r="24" spans="3:8">
      <c r="C24" t="s">
        <v>77</v>
      </c>
      <c r="D24" t="s">
        <v>110</v>
      </c>
      <c r="H24" t="s">
        <v>135</v>
      </c>
    </row>
    <row r="25" spans="3:8">
      <c r="C25" t="s">
        <v>78</v>
      </c>
      <c r="D25" t="s">
        <v>110</v>
      </c>
      <c r="G25" t="s">
        <v>110</v>
      </c>
      <c r="H25" t="s">
        <v>136</v>
      </c>
    </row>
    <row r="26" spans="3:8">
      <c r="C26" t="s">
        <v>84</v>
      </c>
      <c r="G26" t="s">
        <v>171</v>
      </c>
      <c r="H26" s="17" t="s">
        <v>170</v>
      </c>
    </row>
    <row r="27" spans="3:8">
      <c r="H27" t="s">
        <v>137</v>
      </c>
    </row>
    <row r="28" spans="3:8">
      <c r="G28" t="s">
        <v>176</v>
      </c>
      <c r="H28" t="s">
        <v>138</v>
      </c>
    </row>
    <row r="29" spans="3:8">
      <c r="C29" s="2" t="s">
        <v>79</v>
      </c>
      <c r="G29" t="s">
        <v>177</v>
      </c>
    </row>
    <row r="30" spans="3:8">
      <c r="C30" t="s">
        <v>80</v>
      </c>
      <c r="D30" t="s">
        <v>110</v>
      </c>
      <c r="H30" t="s">
        <v>139</v>
      </c>
    </row>
    <row r="31" spans="3:8">
      <c r="C31" t="s">
        <v>104</v>
      </c>
      <c r="D31" t="s">
        <v>110</v>
      </c>
      <c r="G31" t="s">
        <v>174</v>
      </c>
      <c r="H31" t="s">
        <v>140</v>
      </c>
    </row>
    <row r="32" spans="3:8" s="9" customFormat="1">
      <c r="C32" s="9" t="s">
        <v>105</v>
      </c>
      <c r="D32" s="9" t="s">
        <v>110</v>
      </c>
      <c r="H32"/>
    </row>
    <row r="33" spans="3:8" s="9" customFormat="1">
      <c r="H33" t="s">
        <v>141</v>
      </c>
    </row>
    <row r="34" spans="3:8">
      <c r="C34" s="2" t="s">
        <v>83</v>
      </c>
      <c r="G34" t="s">
        <v>169</v>
      </c>
      <c r="H34" t="s">
        <v>142</v>
      </c>
    </row>
    <row r="35" spans="3:8">
      <c r="C35" t="s">
        <v>81</v>
      </c>
      <c r="G35" t="s">
        <v>169</v>
      </c>
      <c r="H35" t="s">
        <v>143</v>
      </c>
    </row>
    <row r="36" spans="3:8">
      <c r="C36" t="s">
        <v>82</v>
      </c>
      <c r="G36" t="s">
        <v>169</v>
      </c>
      <c r="H36" t="s">
        <v>144</v>
      </c>
    </row>
    <row r="37" spans="3:8">
      <c r="G37" t="s">
        <v>179</v>
      </c>
      <c r="H37" t="s">
        <v>145</v>
      </c>
    </row>
    <row r="39" spans="3:8">
      <c r="C39" s="2" t="s">
        <v>106</v>
      </c>
      <c r="H39" t="s">
        <v>146</v>
      </c>
    </row>
    <row r="40" spans="3:8">
      <c r="C40" t="s">
        <v>99</v>
      </c>
      <c r="G40" t="s">
        <v>169</v>
      </c>
      <c r="H40" t="s">
        <v>172</v>
      </c>
    </row>
    <row r="41" spans="3:8">
      <c r="C41" t="s">
        <v>107</v>
      </c>
      <c r="D41" t="s">
        <v>110</v>
      </c>
    </row>
    <row r="42" spans="3:8">
      <c r="C42" t="s">
        <v>108</v>
      </c>
      <c r="H42" t="s">
        <v>147</v>
      </c>
    </row>
    <row r="43" spans="3:8">
      <c r="G43" t="s">
        <v>169</v>
      </c>
      <c r="H43" t="s">
        <v>148</v>
      </c>
    </row>
    <row r="44" spans="3:8">
      <c r="C44" s="2" t="s">
        <v>40</v>
      </c>
    </row>
    <row r="45" spans="3:8">
      <c r="C45" t="s">
        <v>88</v>
      </c>
      <c r="G45" t="s">
        <v>169</v>
      </c>
      <c r="H45" t="s">
        <v>149</v>
      </c>
    </row>
    <row r="46" spans="3:8">
      <c r="C46" t="s">
        <v>86</v>
      </c>
      <c r="D46" t="s">
        <v>110</v>
      </c>
    </row>
    <row r="47" spans="3:8">
      <c r="C47" t="s">
        <v>87</v>
      </c>
      <c r="G47" t="s">
        <v>169</v>
      </c>
      <c r="H47" t="s">
        <v>150</v>
      </c>
    </row>
    <row r="48" spans="3:8">
      <c r="H48" t="s">
        <v>151</v>
      </c>
    </row>
    <row r="49" spans="3:8">
      <c r="G49" t="s">
        <v>169</v>
      </c>
      <c r="H49" t="s">
        <v>152</v>
      </c>
    </row>
    <row r="50" spans="3:8">
      <c r="C50" s="2" t="s">
        <v>89</v>
      </c>
    </row>
    <row r="51" spans="3:8">
      <c r="C51" s="9" t="s">
        <v>91</v>
      </c>
      <c r="H51" s="2" t="s">
        <v>153</v>
      </c>
    </row>
    <row r="52" spans="3:8">
      <c r="C52" s="9" t="s">
        <v>86</v>
      </c>
      <c r="D52" t="s">
        <v>110</v>
      </c>
      <c r="H52" t="s">
        <v>154</v>
      </c>
    </row>
    <row r="53" spans="3:8">
      <c r="C53" s="9" t="s">
        <v>87</v>
      </c>
      <c r="H53" t="s">
        <v>155</v>
      </c>
    </row>
    <row r="55" spans="3:8">
      <c r="H55" t="s">
        <v>156</v>
      </c>
    </row>
    <row r="56" spans="3:8">
      <c r="C56" s="2" t="s">
        <v>90</v>
      </c>
    </row>
    <row r="57" spans="3:8">
      <c r="C57" s="9" t="s">
        <v>92</v>
      </c>
      <c r="G57" t="s">
        <v>169</v>
      </c>
      <c r="H57" t="s">
        <v>157</v>
      </c>
    </row>
    <row r="58" spans="3:8">
      <c r="C58" s="9" t="s">
        <v>86</v>
      </c>
      <c r="D58" t="s">
        <v>110</v>
      </c>
    </row>
    <row r="59" spans="3:8">
      <c r="C59" s="9" t="s">
        <v>87</v>
      </c>
      <c r="G59" t="s">
        <v>169</v>
      </c>
      <c r="H59" t="s">
        <v>158</v>
      </c>
    </row>
    <row r="60" spans="3:8">
      <c r="H60" t="s">
        <v>159</v>
      </c>
    </row>
    <row r="61" spans="3:8">
      <c r="G61" t="s">
        <v>178</v>
      </c>
      <c r="H61" t="s">
        <v>160</v>
      </c>
    </row>
    <row r="62" spans="3:8">
      <c r="C62" s="2" t="s">
        <v>93</v>
      </c>
    </row>
    <row r="63" spans="3:8">
      <c r="C63" t="s">
        <v>94</v>
      </c>
      <c r="H63" t="s">
        <v>161</v>
      </c>
    </row>
    <row r="64" spans="3:8">
      <c r="C64" t="s">
        <v>95</v>
      </c>
      <c r="H64" t="s">
        <v>162</v>
      </c>
    </row>
    <row r="65" spans="3:8">
      <c r="H65" t="s">
        <v>163</v>
      </c>
    </row>
    <row r="66" spans="3:8">
      <c r="H66" t="s">
        <v>164</v>
      </c>
    </row>
    <row r="67" spans="3:8">
      <c r="C67" s="2" t="s">
        <v>101</v>
      </c>
      <c r="H67" t="s">
        <v>165</v>
      </c>
    </row>
    <row r="68" spans="3:8">
      <c r="C68" t="s">
        <v>102</v>
      </c>
      <c r="G68" t="s">
        <v>110</v>
      </c>
      <c r="H68" t="s">
        <v>173</v>
      </c>
    </row>
    <row r="69" spans="3:8">
      <c r="C69" t="s">
        <v>103</v>
      </c>
    </row>
    <row r="71" spans="3:8">
      <c r="H71" s="2" t="s">
        <v>166</v>
      </c>
    </row>
    <row r="72" spans="3:8">
      <c r="H72" t="s">
        <v>167</v>
      </c>
    </row>
    <row r="74" spans="3:8">
      <c r="G74" t="s">
        <v>181</v>
      </c>
      <c r="H7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2020-08-07T11:17:31Z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