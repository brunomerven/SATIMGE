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3F2CA2A6-D5A2-4B54-8EAC-9071E88C97BD}" xr6:coauthVersionLast="47" xr6:coauthVersionMax="47" xr10:uidLastSave="{00000000-0000-0000-0000-000000000000}"/>
  <bookViews>
    <workbookView xWindow="30" yWindow="0" windowWidth="28770" windowHeight="1560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80" r:id="rId9"/>
    <pivotCache cacheId="8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tc={B5C73B40-C010-44FC-A261-0B3A21B3ECB2}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6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7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8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5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6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7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8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19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0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1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2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3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4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5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6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7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8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29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0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1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2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4" authorId="3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<sst xmlns="http://schemas.openxmlformats.org/spreadsheetml/2006/main" count="544" uniqueCount="244">
  <si>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</si>
  <si>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</si>
  <si>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</si>
  <si>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</si>
  <si>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</si>
  <si>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</si>
  <si>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</si>
  <si>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</si>
  <si>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</si>
  <si>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</si>
  <si>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</si>
  <si>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</si>
  <si>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</si>
  <si>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</si>
  <si>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</si>
  <si>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</si>
  <si>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</si>
  <si>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</si>
  <si>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</si>
  <si>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</si>
  <si>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</si>
  <si>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</si>
  <si>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</si>
  <si>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</si>
  <si>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</si>
  <si>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</si>
  <si>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</si>
  <si>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</si>
  <si>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</si>
  <si>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</si>
  <si>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</si>
  <si>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</si>
  <si>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</si>
  <si>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</si>
  <si>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</si>
  <si>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</si>
  <si>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</si>
  <si>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</si>
  <si>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</si>
  <si>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</si>
  <si>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</si>
  <si>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</si>
  <si>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</si>
  <si>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</si>
  <si>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</si>
  <si>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</si>
  <si>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</si>
  <si>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</si>
  <si>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</si>
  <si>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</si>
  <si>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</si>
  <si>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</si>
  <si>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</si>
  <si>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</si>
  <si>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</si>
  <si>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</si>
  <si>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</si>
  <si>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</si>
  <si>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</si>
  <si>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</si>
  <si>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</si>
  <si>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</si>
  <si>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</si>
  <si>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</si>
  <si>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</si>
  <si>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</si>
  <si>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</si>
  <si>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</si>
  <si>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</si>
  <si>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</si>
  <si>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</si>
  <si>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</si>
  <si>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</si>
  <si>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</si>
  <si>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</si>
  <si>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</si>
  <si>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</si>
  <si>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</si>
  <si>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</si>
  <si>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</si>
  <si>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</si>
  <si>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</si>
  <si>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</si>
  <si>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</si>
  <si>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</si>
  <si>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</si>
  <si>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</si>
  <si>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</si>
  <si>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</si>
  <si>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</si>
  <si>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</si>
  <si>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</si>
  <si>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</si>
  <si>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</si>
  <si>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</si>
  <si>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</si>
  <si>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</si>
  <si>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</si>
  <si>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</si>
  <si>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</si>
  <si>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</si>
  <si>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</si>
  <si>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</si>
  <si>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</si>
  <si>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</si>
  <si>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</si>
  <si>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</si>
  <si>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</si>
  <si>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</si>
  <si>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</si>
  <si>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</si>
  <si>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</si>
  <si>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</si>
  <si>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</si>
  <si>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</si>
  <si>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</si>
  <si>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</si>
  <si>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</si>
  <si>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</si>
  <si>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</si>
  <si>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</si>
  <si>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</si>
  <si>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</si>
  <si>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</si>
  <si>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</si>
  <si>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</si>
  <si>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</si>
  <si>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</si>
  <si>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</si>
  <si>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</si>
  <si>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</si>
  <si>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</si>
  <si>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</si>
  <si>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</si>
  <si>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</si>
  <si>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</si>
  <si>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</si>
  <si>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</si>
  <si>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</si>
  <si>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</si>
  <si>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</si>
  <si>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</si>
  <si>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</si>
  <si>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</si>
  <si>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</si>
  <si>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</si>
  <si>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</si>
  <si>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</si>
  <si>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</si>
  <si>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</si>
  <si>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</si>
  <si>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</si>
  <si>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</si>
  <si>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</si>
  <si>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</si>
  <si>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</si>
  <si>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</si>
  <si>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</si>
  <si>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</si>
  <si>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</si>
  <si>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</si>
  <si>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</si>
  <si>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</si>
  <si>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</si>
  <si>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</si>
  <si>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</si>
  <si>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</si>
  <si>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</si>
  <si>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</si>
  <si>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</si>
  <si>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</si>
  <si>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</si>
  <si>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</si>
  <si>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</si>
  <si>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</si>
  <si>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</si>
  <si>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</si>
  <si>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</si>
  <si>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</si>
  <si>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</si>
  <si>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</si>
  <si>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</si>
  <si>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</si>
  <si>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</si>
  <si>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</si>
  <si>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</si>
  <si>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</si>
  <si>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</si>
  <si>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</si>
  <si>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</si>
  <si>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</si>
  <si>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</si>
  <si>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</si>
  <si>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</si>
  <si>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</si>
  <si>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</si>
  <si>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</si>
  <si>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</si>
  <si>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</si>
  <si>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</si>
  <si>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</si>
  <si>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</si>
  <si>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</si>
  <si>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</si>
  <si>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</si>
  <si>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</si>
  <si>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</si>
  <si>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</si>
  <si>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</si>
  <si>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</si>
  <si>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</si>
  <si>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</si>
  <si>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</si>
  <si>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</si>
  <si>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</si>
  <si>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</si>
  <si>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</si>
  <si>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</si>
  <si>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</si>
  <si>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</si>
  <si>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</si>
  <si>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</si>
  <si>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</si>
  <si>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0RG_NZ20_9</t>
  </si>
  <si>
    <t>0RG_NZ20_8</t>
  </si>
  <si>
    <t>0RG_NZ20_7</t>
  </si>
  <si>
    <t>0RG_NZ20_6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</si>
  <si>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</si>
  <si>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</si>
  <si>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</si>
  <si>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</si>
  <si>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</si>
  <si>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</si>
  <si>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</si>
  <si>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</si>
  <si>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</si>
  <si>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</si>
  <si>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0RG_NZ20_9_WE</t>
  </si>
  <si>
    <t>0RG_NZ20_8_WE</t>
  </si>
  <si>
    <t>0RG_NZ20_7_WE</t>
  </si>
  <si>
    <t>0RG_NZ20_6_WE</t>
  </si>
  <si>
    <t>0RG_NZ45_6_WE</t>
  </si>
  <si>
    <t>0RG_NOPAMS_REF_WE</t>
  </si>
  <si>
    <t>NOPAMSWE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</si>
</sst>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4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95.421367476854" createdVersion="6" refreshedVersion="7" minRefreshableVersion="3" recordCount="80" xr:uid="{C0EB43E8-6CC6-4DE4-B7F1-02B09F7BA69A}">
  <cacheSource type="worksheet">
    <worksheetSource ref="A9:P12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5">
        <s v="0RG_NOPAMS_REF"/>
        <s v="0RG_NOPAMS_REF_WE"/>
        <s v="0RG_NZ20_6_WE"/>
        <s v="0RG_NZ20_7"/>
        <s v="0RG_NZ20_7_WE"/>
        <s v="0RG_NZ20_8"/>
        <s v="0RG_NZ20_8_WE"/>
        <s v="0RG_NZ20_9"/>
        <s v="0RG_NZ20_9_W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19">
        <s v="NOPAMSREF"/>
        <s v="NOPAMSWE"/>
        <s v="NZ-20WE"/>
        <s v="NZ-20NE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95.421368981479" createdVersion="6" refreshedVersion="7" minRefreshableVersion="3" recordCount="80" xr:uid="{D229C3DF-142A-4D15-BB2C-2EA205AB0203}">
  <cacheSource type="worksheet">
    <worksheetSource ref="A9:P12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5">
        <s v="0RG_NOPAMS_REF"/>
        <s v="0RG_NOPAMS_REF_WE"/>
        <s v="0RG_NZ20_6_WE"/>
        <s v="0RG_NZ20_7"/>
        <s v="0RG_NZ20_7_WE"/>
        <s v="0RG_NZ20_8"/>
        <s v="0RG_NZ20_8_WE"/>
        <s v="0RG_NZ20_9"/>
        <s v="0RG_NZ20_9_W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1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2"/>
    <n v="1"/>
    <n v="1"/>
    <s v="NZ_nopams_20afolu"/>
    <n v="1"/>
    <n v="1"/>
    <n v="-1"/>
    <n v="-1"/>
    <n v="-1"/>
    <n v="1"/>
    <n v="4"/>
    <n v="4.4793989999999999"/>
  </r>
  <r>
    <n v="0"/>
    <x v="3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2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3"/>
    <n v="1"/>
    <n v="1"/>
    <s v="NZ_nopams_20afolu"/>
    <n v="1"/>
    <n v="1"/>
    <n v="-1"/>
    <n v="-1"/>
    <n v="-1"/>
    <n v="1"/>
    <n v="4"/>
    <n v="7.4793989999999999"/>
  </r>
  <r>
    <n v="0"/>
    <x v="8"/>
    <s v="yes tested"/>
    <x v="0"/>
    <x v="2"/>
    <n v="1"/>
    <n v="1"/>
    <s v="NZ_nopams_20afolu"/>
    <n v="1"/>
    <n v="1"/>
    <n v="-1"/>
    <n v="-1"/>
    <n v="-1"/>
    <n v="1"/>
    <n v="4"/>
    <n v="7.4793989999999999"/>
  </r>
  <r>
    <n v="0"/>
    <x v="9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0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11"/>
    <s v="yes tested"/>
    <x v="0"/>
    <x v="4"/>
    <n v="1"/>
    <n v="1"/>
    <s v="NZ_nopams_45afolu"/>
    <n v="1"/>
    <n v="1"/>
    <n v="-1"/>
    <n v="-1"/>
    <n v="-1"/>
    <n v="1"/>
    <n v="5"/>
    <n v="4.7911130000000002"/>
  </r>
  <r>
    <n v="0"/>
    <x v="12"/>
    <s v="yes tested"/>
    <x v="0"/>
    <x v="5"/>
    <n v="1"/>
    <n v="1"/>
    <s v="NZ_nopams_45afolu"/>
    <n v="1"/>
    <n v="1"/>
    <n v="-1"/>
    <n v="-1"/>
    <n v="-1"/>
    <n v="1"/>
    <n v="5"/>
    <n v="4.7911130000000002"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  <r>
    <m/>
    <x v="13"/>
    <m/>
    <x v="1"/>
    <x v="6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1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Z-20WE"/>
    <n v="1"/>
    <n v="1"/>
    <s v="NZ_nopams_20afolu"/>
    <n v="1"/>
    <n v="1"/>
    <n v="-1"/>
    <n v="-1"/>
    <n v="-1"/>
    <n v="1"/>
    <n v="4"/>
    <n v="4.4793989999999999"/>
  </r>
  <r>
    <n v="0"/>
    <x v="3"/>
    <s v="yes tested"/>
    <s v="base"/>
    <s v="NZ-20NE"/>
    <n v="1"/>
    <n v="1"/>
    <s v="NZ_nopams_20afolu"/>
    <n v="1"/>
    <n v="1"/>
    <n v="-1"/>
    <n v="-1"/>
    <n v="-1"/>
    <n v="1"/>
    <n v="4"/>
    <n v="5.4793989999999999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7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7.4793989999999999"/>
  </r>
  <r>
    <n v="0"/>
    <x v="9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0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1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2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  <r>
    <m/>
    <x v="1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80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0" firstHeaderRow="1" firstDataRow="1" firstDataCol="1"/>
  <pivotFields count="16">
    <pivotField dataField="1" showAll="0"/>
    <pivotField axis="axisRow" showAll="0">
      <items count="16">
        <item x="13"/>
        <item m="1" x="14"/>
        <item x="9"/>
        <item x="7"/>
        <item x="5"/>
        <item x="3"/>
        <item x="0"/>
        <item x="10"/>
        <item x="8"/>
        <item x="6"/>
        <item x="4"/>
        <item x="2"/>
        <item x="12"/>
        <item x="1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5">
        <item x="13"/>
        <item m="1" x="14"/>
        <item x="9"/>
        <item x="7"/>
        <item x="5"/>
        <item x="3"/>
        <item x="0"/>
        <item x="10"/>
        <item x="8"/>
        <item x="6"/>
        <item x="4"/>
        <item x="2"/>
        <item x="12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9">
        <item m="1" x="70"/>
        <item m="1" x="51"/>
        <item m="1" x="43"/>
        <item x="6"/>
        <item m="1" x="50"/>
        <item m="1" x="18"/>
        <item m="1" x="61"/>
        <item m="1" x="75"/>
        <item m="1" x="46"/>
        <item m="1" x="52"/>
        <item m="1" x="47"/>
        <item m="1" x="34"/>
        <item m="1" x="9"/>
        <item m="1" x="59"/>
        <item m="1" x="7"/>
        <item m="1" x="104"/>
        <item m="1" x="28"/>
        <item m="1" x="88"/>
        <item m="1" x="98"/>
        <item m="1" x="35"/>
        <item m="1" x="30"/>
        <item m="1" x="92"/>
        <item m="1" x="64"/>
        <item m="1" x="65"/>
        <item m="1" x="89"/>
        <item m="1" x="41"/>
        <item m="1" x="85"/>
        <item m="1" x="13"/>
        <item m="1" x="21"/>
        <item m="1" x="115"/>
        <item m="1" x="72"/>
        <item m="1" x="99"/>
        <item m="1" x="54"/>
        <item m="1" x="101"/>
        <item m="1" x="108"/>
        <item m="1" x="57"/>
        <item m="1" x="73"/>
        <item m="1" x="69"/>
        <item m="1" x="97"/>
        <item m="1" x="95"/>
        <item m="1" x="25"/>
        <item m="1" x="111"/>
        <item m="1" x="67"/>
        <item m="1" x="84"/>
        <item m="1" x="94"/>
        <item m="1" x="112"/>
        <item m="1" x="118"/>
        <item m="1" x="55"/>
        <item m="1" x="45"/>
        <item m="1" x="44"/>
        <item m="1" x="76"/>
        <item m="1" x="49"/>
        <item m="1" x="82"/>
        <item m="1" x="19"/>
        <item m="1" x="58"/>
        <item m="1" x="81"/>
        <item m="1" x="96"/>
        <item m="1" x="56"/>
        <item m="1" x="53"/>
        <item m="1" x="16"/>
        <item m="1" x="103"/>
        <item m="1" x="27"/>
        <item m="1" x="37"/>
        <item m="1" x="63"/>
        <item m="1" x="71"/>
        <item m="1" x="38"/>
        <item m="1" x="12"/>
        <item m="1" x="66"/>
        <item m="1" x="74"/>
        <item m="1" x="31"/>
        <item m="1" x="87"/>
        <item m="1" x="100"/>
        <item m="1" x="60"/>
        <item m="1" x="33"/>
        <item m="1" x="39"/>
        <item m="1" x="26"/>
        <item m="1" x="77"/>
        <item m="1" x="11"/>
        <item m="1" x="83"/>
        <item m="1" x="93"/>
        <item m="1" x="109"/>
        <item m="1" x="90"/>
        <item m="1" x="106"/>
        <item m="1" x="116"/>
        <item m="1" x="40"/>
        <item m="1" x="86"/>
        <item m="1" x="114"/>
        <item m="1" x="17"/>
        <item m="1" x="23"/>
        <item m="1" x="42"/>
        <item m="1" x="68"/>
        <item m="1" x="14"/>
        <item m="1" x="15"/>
        <item x="0"/>
        <item m="1" x="10"/>
        <item m="1" x="105"/>
        <item m="1" x="48"/>
        <item m="1" x="102"/>
        <item m="1" x="24"/>
        <item m="1" x="107"/>
        <item m="1" x="80"/>
        <item m="1" x="62"/>
        <item m="1" x="32"/>
        <item m="1" x="79"/>
        <item m="1" x="8"/>
        <item m="1" x="91"/>
        <item x="2"/>
        <item x="3"/>
        <item m="1" x="78"/>
        <item x="4"/>
        <item m="1" x="20"/>
        <item x="5"/>
        <item m="1" x="36"/>
        <item m="1" x="29"/>
        <item m="1" x="22"/>
        <item m="1" x="113"/>
        <item m="1" x="117"/>
        <item m="1" x="11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4">
    <i>
      <x/>
      <x v="3"/>
    </i>
    <i>
      <x v="2"/>
      <x v="107"/>
    </i>
    <i>
      <x v="3"/>
      <x v="107"/>
    </i>
    <i>
      <x v="4"/>
      <x v="107"/>
    </i>
    <i>
      <x v="5"/>
      <x v="107"/>
    </i>
    <i>
      <x v="6"/>
      <x v="93"/>
    </i>
    <i>
      <x v="7"/>
      <x v="106"/>
    </i>
    <i>
      <x v="8"/>
      <x v="106"/>
    </i>
    <i>
      <x v="9"/>
      <x v="106"/>
    </i>
    <i>
      <x v="10"/>
      <x v="106"/>
    </i>
    <i>
      <x v="11"/>
      <x v="106"/>
    </i>
    <i>
      <x v="12"/>
      <x v="111"/>
    </i>
    <i>
      <x v="13"/>
      <x v="109"/>
    </i>
    <i>
      <x v="14"/>
      <x v="11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83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0" firstHeaderRow="1" firstDataRow="1" firstDataCol="1"/>
  <pivotFields count="16">
    <pivotField showAll="0"/>
    <pivotField axis="axisRow" showAll="0" sortType="ascending">
      <items count="16">
        <item m="1"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5">
        <item x="13"/>
        <item m="1" x="14"/>
        <item x="9"/>
        <item x="7"/>
        <item x="5"/>
        <item x="3"/>
        <item x="0"/>
        <item x="10"/>
        <item x="8"/>
        <item x="6"/>
        <item x="4"/>
        <item x="2"/>
        <item x="12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0" firstHeaderRow="0" firstDataRow="1" firstDataCol="1"/>
  <pivotFields count="16">
    <pivotField showAll="0"/>
    <pivotField axis="axisRow" showAll="0">
      <items count="16">
        <item x="13"/>
        <item m="1" x="14"/>
        <item x="9"/>
        <item x="7"/>
        <item x="5"/>
        <item x="3"/>
        <item x="0"/>
        <item x="10"/>
        <item x="8"/>
        <item x="6"/>
        <item x="4"/>
        <item x="2"/>
        <item x="12"/>
        <item x="1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0" firstHeaderRow="1" firstDataRow="1" firstDataCol="1"/>
  <pivotFields count="16">
    <pivotField showAll="0"/>
    <pivotField axis="axisRow" showAll="0">
      <items count="16">
        <item x="13"/>
        <item m="1" x="14"/>
        <item x="9"/>
        <item x="7"/>
        <item x="5"/>
        <item x="3"/>
        <item x="0"/>
        <item x="10"/>
        <item x="8"/>
        <item x="6"/>
        <item x="4"/>
        <item x="2"/>
        <item x="12"/>
        <item x="1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0" firstHeaderRow="1" firstDataRow="1" firstDataCol="1"/>
  <pivotFields count="16">
    <pivotField showAll="0"/>
    <pivotField axis="axisRow" showAll="0">
      <items count="16">
        <item x="13"/>
        <item m="1" x="14"/>
        <item x="9"/>
        <item x="7"/>
        <item x="5"/>
        <item x="3"/>
        <item x="0"/>
        <item x="10"/>
        <item x="8"/>
        <item x="6"/>
        <item x="4"/>
        <item x="2"/>
        <item x="12"/>
        <item x="1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3" firstHeaderRow="1" firstDataRow="1" firstDataCol="1"/>
  <pivotFields count="16">
    <pivotField showAll="0"/>
    <pivotField showAll="0"/>
    <pivotField showAll="0"/>
    <pivotField showAll="0"/>
    <pivotField axis="axisRow" showAll="0">
      <items count="120">
        <item m="1" x="70"/>
        <item m="1" x="51"/>
        <item m="1" x="43"/>
        <item x="6"/>
        <item m="1" x="50"/>
        <item m="1" x="18"/>
        <item m="1" x="61"/>
        <item m="1" x="75"/>
        <item m="1" x="46"/>
        <item m="1" x="52"/>
        <item m="1" x="47"/>
        <item m="1" x="34"/>
        <item m="1" x="9"/>
        <item m="1" x="59"/>
        <item m="1" x="7"/>
        <item m="1" x="104"/>
        <item m="1" x="28"/>
        <item m="1" x="88"/>
        <item m="1" x="98"/>
        <item m="1" x="35"/>
        <item m="1" x="30"/>
        <item m="1" x="92"/>
        <item m="1" x="64"/>
        <item m="1" x="65"/>
        <item m="1" x="89"/>
        <item m="1" x="41"/>
        <item m="1" x="85"/>
        <item m="1" x="13"/>
        <item m="1" x="21"/>
        <item m="1" x="115"/>
        <item m="1" x="72"/>
        <item m="1" x="99"/>
        <item m="1" x="54"/>
        <item m="1" x="101"/>
        <item m="1" x="108"/>
        <item m="1" x="57"/>
        <item m="1" x="73"/>
        <item m="1" x="69"/>
        <item m="1" x="97"/>
        <item m="1" x="95"/>
        <item m="1" x="25"/>
        <item m="1" x="111"/>
        <item m="1" x="67"/>
        <item m="1" x="84"/>
        <item m="1" x="94"/>
        <item m="1" x="112"/>
        <item m="1" x="118"/>
        <item m="1" x="55"/>
        <item m="1" x="45"/>
        <item m="1" x="44"/>
        <item m="1" x="76"/>
        <item m="1" x="49"/>
        <item m="1" x="82"/>
        <item m="1" x="19"/>
        <item m="1" x="58"/>
        <item m="1" x="81"/>
        <item m="1" x="96"/>
        <item m="1" x="56"/>
        <item m="1" x="53"/>
        <item m="1" x="16"/>
        <item m="1" x="103"/>
        <item m="1" x="27"/>
        <item m="1" x="37"/>
        <item m="1" x="63"/>
        <item m="1" x="71"/>
        <item m="1" x="38"/>
        <item m="1" x="12"/>
        <item m="1" x="66"/>
        <item m="1" x="74"/>
        <item m="1" x="31"/>
        <item m="1" x="87"/>
        <item m="1" x="100"/>
        <item m="1" x="60"/>
        <item m="1" x="33"/>
        <item m="1" x="39"/>
        <item m="1" x="26"/>
        <item m="1" x="77"/>
        <item m="1" x="11"/>
        <item m="1" x="83"/>
        <item m="1" x="93"/>
        <item m="1" x="109"/>
        <item m="1" x="90"/>
        <item m="1" x="106"/>
        <item m="1" x="116"/>
        <item m="1" x="40"/>
        <item m="1" x="86"/>
        <item m="1" x="114"/>
        <item m="1" x="17"/>
        <item m="1" x="23"/>
        <item m="1" x="42"/>
        <item m="1" x="68"/>
        <item m="1" x="14"/>
        <item m="1" x="15"/>
        <item x="0"/>
        <item m="1" x="10"/>
        <item m="1" x="105"/>
        <item m="1" x="48"/>
        <item m="1" x="102"/>
        <item m="1" x="24"/>
        <item m="1" x="107"/>
        <item m="1" x="80"/>
        <item m="1" x="62"/>
        <item m="1" x="32"/>
        <item m="1" x="79"/>
        <item m="1" x="8"/>
        <item m="1" x="91"/>
        <item x="2"/>
        <item x="3"/>
        <item m="1" x="78"/>
        <item x="4"/>
        <item m="1" x="20"/>
        <item x="5"/>
        <item m="1" x="36"/>
        <item m="1" x="29"/>
        <item m="1" x="22"/>
        <item m="1" x="113"/>
        <item m="1" x="117"/>
        <item m="1" x="11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 v="3"/>
    </i>
    <i>
      <x v="93"/>
    </i>
    <i>
      <x v="106"/>
    </i>
    <i>
      <x v="107"/>
    </i>
    <i>
      <x v="109"/>
    </i>
    <i>
      <x v="111"/>
    </i>
    <i>
      <x v="11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0" firstHeaderRow="1" firstDataRow="1" firstDataCol="1"/>
  <pivotFields count="16">
    <pivotField showAll="0"/>
    <pivotField axis="axisRow" showAll="0">
      <items count="16">
        <item x="13"/>
        <item m="1" x="14"/>
        <item x="9"/>
        <item x="7"/>
        <item x="5"/>
        <item x="3"/>
        <item x="0"/>
        <item x="10"/>
        <item x="8"/>
        <item x="6"/>
        <item x="4"/>
        <item x="2"/>
        <item x="12"/>
        <item x="11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0" firstHeaderRow="1" firstDataRow="1" firstDataCol="1"/>
  <pivotFields count="16">
    <pivotField showAll="0"/>
    <pivotField axis="axisRow" showAll="0">
      <items count="16">
        <item x="13"/>
        <item m="1" x="14"/>
        <item x="9"/>
        <item x="7"/>
        <item x="5"/>
        <item x="3"/>
        <item x="0"/>
        <item x="10"/>
        <item x="8"/>
        <item x="6"/>
        <item x="4"/>
        <item x="2"/>
        <item x="12"/>
        <item x="1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8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0" firstHeaderRow="1" firstDataRow="1" firstDataCol="1"/>
  <pivotFields count="16">
    <pivotField showAll="0"/>
    <pivotField axis="axisRow" showAll="0">
      <items count="16">
        <item x="13"/>
        <item m="1" x="14"/>
        <item x="9"/>
        <item x="7"/>
        <item x="5"/>
        <item x="3"/>
        <item x="0"/>
        <item x="10"/>
        <item x="8"/>
        <item x="6"/>
        <item x="4"/>
        <item x="2"/>
        <item x="12"/>
        <item x="11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17FBD226-AEBE-4EC7-A6D6-D1E6F0B044C5}">
    <text>Note that there is still a problem running with other cases here - still looking into it.</text>
  </threadedComment>
  <threadedComment ref="D18" dT="2020-08-07T12:32:29.60" personId="{8A307EF1-062C-4DD1-801F-D45833AE4B68}" id="{37DC2375-4C43-4283-944C-7AF220DF9E63}">
    <text>Note that there is still a problem running with other cases here - still looking into it.</text>
  </threadedComment>
  <threadedComment ref="D19" dT="2020-08-07T12:32:29.60" personId="{8A307EF1-062C-4DD1-801F-D45833AE4B68}" id="{96C64C8E-8DBE-43D2-9EEE-9EDCF222C45D}">
    <text>Note that there is still a problem running with other cases here - still looking into it.</text>
  </threadedComment>
  <threadedComment ref="D20" dT="2020-08-07T12:32:29.60" personId="{8A307EF1-062C-4DD1-801F-D45833AE4B68}" id="{2E84C638-A7D0-4725-AAF5-9E9F72760766}">
    <text>Note that there is still a problem running with other cases here - still looking into it.</text>
  </threadedComment>
  <threadedComment ref="D21" dT="2020-08-07T12:32:29.60" personId="{8A307EF1-062C-4DD1-801F-D45833AE4B68}" id="{561DFB92-4BB0-4BCE-B206-9F4519A27285}">
    <text>Note that there is still a problem running with other cases here - still looking into it.</text>
  </threadedComment>
  <threadedComment ref="D22" dT="2020-08-07T12:32:29.60" personId="{8A307EF1-062C-4DD1-801F-D45833AE4B68}" id="{5339361E-9549-475B-906E-A3B74FCE10E9}">
    <text>Note that there is still a problem running with other cases here - still looking into it.</text>
  </threadedComment>
  <threadedComment ref="D23" dT="2020-08-07T12:32:29.60" personId="{8A307EF1-062C-4DD1-801F-D45833AE4B68}" id="{F8D04539-B167-435E-92BD-A52C8FD12C50}">
    <text>Note that there is still a problem running with other cases here - still looking into it.</text>
  </threadedComment>
  <threadedComment ref="D24" dT="2020-08-07T12:32:29.60" personId="{8A307EF1-062C-4DD1-801F-D45833AE4B68}" id="{7A9E32FD-5EBA-4047-9D71-8B1B1311F04B}">
    <text>Note that there is still a problem running with other cases here - still looking into it.</text>
  </threadedComment>
  <threadedComment ref="D25" dT="2020-08-07T12:32:29.60" personId="{8A307EF1-062C-4DD1-801F-D45833AE4B68}" id="{4DD21D2A-3E6D-4FF1-9945-B1C066CEF212}">
    <text>Note that there is still a problem running with other cases here - still looking into it.</text>
  </threadedComment>
  <threadedComment ref="D26" dT="2020-08-07T12:32:29.60" personId="{8A307EF1-062C-4DD1-801F-D45833AE4B68}" id="{7D40445D-4074-4C20-80C3-E8E278559197}">
    <text>Note that there is still a problem running with other cases here - still looking into it.</text>
  </threadedComment>
  <threadedComment ref="D27" dT="2020-08-07T12:32:29.60" personId="{8A307EF1-062C-4DD1-801F-D45833AE4B68}" id="{E99C0E29-E7B8-476F-A7AD-A7A8D75D28A9}">
    <text>Note that there is still a problem running with other cases here - still looking into it.</text>
  </threadedComment>
  <threadedComment ref="D28" dT="2020-08-07T12:32:29.60" personId="{8A307EF1-062C-4DD1-801F-D45833AE4B68}" id="{E96716FF-CE27-485D-8A10-C9E733DB6A86}">
    <text>Note that there is still a problem running with other cases here - still looking into it.</text>
  </threadedComment>
  <threadedComment ref="D29" dT="2020-08-07T12:32:29.60" personId="{8A307EF1-062C-4DD1-801F-D45833AE4B68}" id="{4D2EFD36-0D4D-4BBC-84F9-6656BEE0624A}">
    <text>Note that there is still a problem running with other cases here - still looking into it.</text>
  </threadedComment>
  <threadedComment ref="D30" dT="2020-08-07T12:32:29.60" personId="{8A307EF1-062C-4DD1-801F-D45833AE4B68}" id="{D0494433-42D8-4479-9B9E-47F973684D64}">
    <text>Note that there is still a problem running with other cases here - still looking into it.</text>
  </threadedComment>
  <threadedComment ref="D31" dT="2020-08-07T12:32:29.60" personId="{8A307EF1-062C-4DD1-801F-D45833AE4B68}" id="{774138A9-CA65-4FA1-8925-2FC98647A1D8}">
    <text>Note that there is still a problem running with other cases here - still looking into it.</text>
  </threadedComment>
  <threadedComment ref="D32" dT="2020-08-07T12:32:29.60" personId="{8A307EF1-062C-4DD1-801F-D45833AE4B68}" id="{2B2E9494-0FF5-4BE3-917A-AB0CA3686EEF}">
    <text>Note that there is still a problem running with other cases here - still looking into it.</text>
  </threadedComment>
  <threadedComment ref="D33" dT="2020-08-07T12:32:29.60" personId="{8A307EF1-062C-4DD1-801F-D45833AE4B68}" id="{F7455BD2-C409-4DE2-B630-94650AF5B1A8}">
    <text>Note that there is still a problem running with other cases here - still looking into it.</text>
  </threadedComment>
  <threadedComment ref="D34" dT="2020-08-07T12:32:29.60" personId="{8A307EF1-062C-4DD1-801F-D45833AE4B68}" id="{D603493A-7273-4879-85CD-3C7962CCF3C6}">
    <text>Note that there is still a problem running with other cases here - still looking into it.</text>
  </threadedComment>
  <threadedComment ref="D35" dT="2020-08-07T12:32:29.60" personId="{8A307EF1-062C-4DD1-801F-D45833AE4B68}" id="{40FD5F70-AE3C-4C12-995B-F22CD38A59C3}">
    <text>Note that there is still a problem running with other cases here - still looking into it.</text>
  </threadedComment>
  <threadedComment ref="D36" dT="2020-08-07T12:32:29.60" personId="{8A307EF1-062C-4DD1-801F-D45833AE4B68}" id="{3D999BBF-4D0F-4FEC-AE00-EC572EA512F9}">
    <text>Note that there is still a problem running with other cases here - still looking into it.</text>
  </threadedComment>
  <threadedComment ref="D37" dT="2020-08-07T12:32:29.60" personId="{8A307EF1-062C-4DD1-801F-D45833AE4B68}" id="{F451622A-C364-4F1C-882A-E0B9970B0FA3}">
    <text>Note that there is still a problem running with other cases here - still looking into it.</text>
  </threadedComment>
  <threadedComment ref="D38" dT="2020-08-07T12:32:29.60" personId="{8A307EF1-062C-4DD1-801F-D45833AE4B68}" id="{44F43EB0-7C19-4B54-BD76-854AEA9594F0}">
    <text>Note that there is still a problem running with other cases here - still looking into it.</text>
  </threadedComment>
  <threadedComment ref="D39" dT="2020-08-07T12:32:29.60" personId="{8A307EF1-062C-4DD1-801F-D45833AE4B68}" id="{72DAE713-F64D-4A4B-92A3-6E290B1C08AC}">
    <text>Note that there is still a problem running with other cases here - still looking into it.</text>
  </threadedComment>
  <threadedComment ref="D40" dT="2020-08-07T12:32:29.60" personId="{8A307EF1-062C-4DD1-801F-D45833AE4B68}" id="{8DC95888-1B09-4C2A-8946-9480A3A0A5C3}">
    <text>Note that there is still a problem running with other cases here - still looking into it.</text>
  </threadedComment>
  <threadedComment ref="D41" dT="2020-08-07T12:32:29.60" personId="{8A307EF1-062C-4DD1-801F-D45833AE4B68}" id="{6DB6B67F-BF22-490F-8851-F4A3280BA24B}">
    <text>Note that there is still a problem running with other cases here - still looking into it.</text>
  </threadedComment>
  <threadedComment ref="D42" dT="2020-08-07T12:32:29.60" personId="{8A307EF1-062C-4DD1-801F-D45833AE4B68}" id="{DD0D03D5-0E45-47B1-BB19-3D43552EF1AF}">
    <text>Note that there is still a problem running with other cases here - still looking into it.</text>
  </threadedComment>
  <threadedComment ref="D43" dT="2020-08-07T12:32:29.60" personId="{8A307EF1-062C-4DD1-801F-D45833AE4B68}" id="{2E057A1D-61F2-468B-8278-F722F83FC647}">
    <text>Note that there is still a problem running with other cases here - still looking into it.</text>
  </threadedComment>
  <threadedComment ref="D7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20" sqref="A20"/>
    </sheetView>
  </sheetViews>
  <sheetFormatPr defaultRowHeight="15"/>
  <cols>
    <col min="1" max="1" width="21.85546875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1.85546875" style="7" bestFit="1" customWidth="1"/>
    <col min="6" max="6" width="23" style="7" bestFit="1" customWidth="1"/>
    <col min="7" max="7" width="21.85546875" style="7" bestFit="1" customWidth="1"/>
    <col min="8" max="8" width="19.85546875" style="7" bestFit="1" customWidth="1"/>
    <col min="9" max="9" width="21.85546875" style="7" bestFit="1" customWidth="1"/>
    <col min="10" max="10" width="18.5703125" style="7" bestFit="1" customWidth="1"/>
    <col min="11" max="11" width="21.85546875" style="7" bestFit="1" customWidth="1"/>
    <col min="12" max="12" width="20.7109375" style="7" bestFit="1" customWidth="1"/>
    <col min="13" max="13" width="21.855468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1.855468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1.855468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230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242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2013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240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1</v>
      </c>
      <c r="I9" s="13" t="s">
        <v>223</v>
      </c>
      <c r="J9" s="3">
        <v>1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7.4793989999999999</v>
      </c>
      <c r="AC9" s="3"/>
      <c r="AD9" s="14">
        <v>2014</v>
      </c>
      <c r="AE9" s="14" t="str">
        <f t="shared" ref="AE9:AE13" si="0"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225</v>
      </c>
      <c r="B10" s="13" t="s">
        <v>222</v>
      </c>
      <c r="C10" s="13" t="s">
        <v>46</v>
      </c>
      <c r="D10"/>
      <c r="E10" s="13" t="s">
        <v>224</v>
      </c>
      <c r="F10" s="3">
        <v>0</v>
      </c>
      <c r="G10" s="13" t="s">
        <v>224</v>
      </c>
      <c r="H10" s="3">
        <v>1</v>
      </c>
      <c r="I10" s="13" t="s">
        <v>224</v>
      </c>
      <c r="J10" s="3">
        <v>1</v>
      </c>
      <c r="K10" s="13" t="s">
        <v>224</v>
      </c>
      <c r="L10" s="3">
        <v>1</v>
      </c>
      <c r="M10" s="13" t="s">
        <v>224</v>
      </c>
      <c r="N10" s="3">
        <v>1</v>
      </c>
      <c r="O10" s="7" t="s">
        <v>224</v>
      </c>
      <c r="P10" s="7" t="s">
        <v>222</v>
      </c>
      <c r="Q10" s="7" t="s">
        <v>224</v>
      </c>
      <c r="R10" s="7" t="s">
        <v>30</v>
      </c>
      <c r="S10" s="13" t="s">
        <v>224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224</v>
      </c>
      <c r="AB10" s="3">
        <v>6.4793989999999999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239</v>
      </c>
      <c r="B11" s="13" t="s">
        <v>227</v>
      </c>
      <c r="C11" s="13" t="s">
        <v>47</v>
      </c>
      <c r="D11"/>
      <c r="E11" s="13" t="s">
        <v>225</v>
      </c>
      <c r="F11" s="3">
        <v>0</v>
      </c>
      <c r="G11" s="13" t="s">
        <v>225</v>
      </c>
      <c r="H11" s="3">
        <v>1</v>
      </c>
      <c r="I11" s="13" t="s">
        <v>225</v>
      </c>
      <c r="J11" s="3">
        <v>1</v>
      </c>
      <c r="K11" s="13" t="s">
        <v>225</v>
      </c>
      <c r="L11" s="3">
        <v>1</v>
      </c>
      <c r="M11" s="13" t="s">
        <v>225</v>
      </c>
      <c r="N11" s="3">
        <v>1</v>
      </c>
      <c r="O11" s="7" t="s">
        <v>225</v>
      </c>
      <c r="P11" s="7" t="s">
        <v>222</v>
      </c>
      <c r="Q11" s="7" t="s">
        <v>225</v>
      </c>
      <c r="R11" s="7" t="s">
        <v>30</v>
      </c>
      <c r="S11" s="13" t="s">
        <v>225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225</v>
      </c>
      <c r="AB11" s="3">
        <v>5.4793989999999999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224</v>
      </c>
      <c r="B12" s="13" t="s">
        <v>229</v>
      </c>
      <c r="C12" s="13" t="s">
        <v>48</v>
      </c>
      <c r="D12" s="13"/>
      <c r="E12" s="13" t="s">
        <v>230</v>
      </c>
      <c r="F12" s="3">
        <v>0</v>
      </c>
      <c r="G12" s="13" t="s">
        <v>230</v>
      </c>
      <c r="H12" s="3">
        <v>0</v>
      </c>
      <c r="I12" s="13" t="s">
        <v>230</v>
      </c>
      <c r="J12" s="3">
        <v>1</v>
      </c>
      <c r="K12" s="13" t="s">
        <v>230</v>
      </c>
      <c r="L12" s="3">
        <v>0</v>
      </c>
      <c r="M12" s="13" t="s">
        <v>230</v>
      </c>
      <c r="N12" s="3">
        <v>0</v>
      </c>
      <c r="O12" s="7" t="s">
        <v>230</v>
      </c>
      <c r="P12" s="7" t="s">
        <v>219</v>
      </c>
      <c r="Q12" s="7" t="s">
        <v>230</v>
      </c>
      <c r="R12" s="7" t="s">
        <v>30</v>
      </c>
      <c r="S12" s="13" t="s">
        <v>230</v>
      </c>
      <c r="T12" s="3">
        <v>-1</v>
      </c>
      <c r="U12" s="3">
        <v>-1</v>
      </c>
      <c r="V12" s="3">
        <v>-1</v>
      </c>
      <c r="W12" s="3">
        <v>1</v>
      </c>
      <c r="X12" s="3">
        <v>-1</v>
      </c>
      <c r="Y12" s="3"/>
      <c r="Z12" s="3"/>
      <c r="AA12" s="13" t="s">
        <v>230</v>
      </c>
      <c r="AB12" s="3">
        <v>100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238</v>
      </c>
      <c r="B13" s="13" t="s">
        <v>243</v>
      </c>
      <c r="C13" s="13" t="s">
        <v>49</v>
      </c>
      <c r="D13" s="13"/>
      <c r="E13" s="13" t="s">
        <v>236</v>
      </c>
      <c r="F13" s="3">
        <v>0</v>
      </c>
      <c r="G13" s="13" t="s">
        <v>236</v>
      </c>
      <c r="H13" s="3">
        <v>1</v>
      </c>
      <c r="I13" s="13" t="s">
        <v>236</v>
      </c>
      <c r="J13" s="3">
        <v>1</v>
      </c>
      <c r="K13" s="13" t="s">
        <v>236</v>
      </c>
      <c r="L13" s="3">
        <v>1</v>
      </c>
      <c r="M13" s="13" t="s">
        <v>236</v>
      </c>
      <c r="N13" s="3">
        <v>1</v>
      </c>
      <c r="O13" s="7" t="s">
        <v>236</v>
      </c>
      <c r="P13" s="7" t="s">
        <v>221</v>
      </c>
      <c r="Q13" s="7" t="s">
        <v>236</v>
      </c>
      <c r="R13" s="7" t="s">
        <v>30</v>
      </c>
      <c r="S13" s="13" t="s">
        <v>236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236</v>
      </c>
      <c r="AB13" s="3">
        <v>100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223</v>
      </c>
      <c r="B14"/>
      <c r="C14" s="13" t="s">
        <v>50</v>
      </c>
      <c r="D14" s="13"/>
      <c r="E14" s="13" t="s">
        <v>237</v>
      </c>
      <c r="F14" s="3">
        <v>0</v>
      </c>
      <c r="G14" s="13" t="s">
        <v>237</v>
      </c>
      <c r="H14" s="3">
        <v>1</v>
      </c>
      <c r="I14" s="13" t="s">
        <v>237</v>
      </c>
      <c r="J14" s="3">
        <v>1</v>
      </c>
      <c r="K14" s="13" t="s">
        <v>237</v>
      </c>
      <c r="L14" s="3">
        <v>1</v>
      </c>
      <c r="M14" s="13" t="s">
        <v>237</v>
      </c>
      <c r="N14" s="3">
        <v>1</v>
      </c>
      <c r="O14" s="7" t="s">
        <v>237</v>
      </c>
      <c r="P14" s="7" t="s">
        <v>221</v>
      </c>
      <c r="Q14" s="7" t="s">
        <v>237</v>
      </c>
      <c r="R14" s="7" t="s">
        <v>30</v>
      </c>
      <c r="S14" s="13" t="s">
        <v>237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237</v>
      </c>
      <c r="AB14" s="3">
        <v>7.4793989999999999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237</v>
      </c>
      <c r="B15"/>
      <c r="C15" s="13" t="s">
        <v>51</v>
      </c>
      <c r="D15" s="13"/>
      <c r="E15" s="13" t="s">
        <v>238</v>
      </c>
      <c r="F15" s="3">
        <v>0</v>
      </c>
      <c r="G15" s="13" t="s">
        <v>238</v>
      </c>
      <c r="H15" s="3">
        <v>1</v>
      </c>
      <c r="I15" s="13" t="s">
        <v>238</v>
      </c>
      <c r="J15" s="3">
        <v>1</v>
      </c>
      <c r="K15" s="13" t="s">
        <v>238</v>
      </c>
      <c r="L15" s="3">
        <v>1</v>
      </c>
      <c r="M15" s="13" t="s">
        <v>238</v>
      </c>
      <c r="N15" s="3">
        <v>1</v>
      </c>
      <c r="O15" s="7" t="s">
        <v>238</v>
      </c>
      <c r="P15" s="7" t="s">
        <v>221</v>
      </c>
      <c r="Q15" s="7" t="s">
        <v>238</v>
      </c>
      <c r="R15" s="7" t="s">
        <v>30</v>
      </c>
      <c r="S15" s="13" t="s">
        <v>238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238</v>
      </c>
      <c r="AB15" s="3">
        <v>6.4793989999999999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220</v>
      </c>
      <c r="B16"/>
      <c r="C16" s="13" t="s">
        <v>52</v>
      </c>
      <c r="D16" s="13"/>
      <c r="E16" s="13" t="s">
        <v>239</v>
      </c>
      <c r="F16" s="3">
        <v>0</v>
      </c>
      <c r="G16" s="13" t="s">
        <v>239</v>
      </c>
      <c r="H16" s="3">
        <v>1</v>
      </c>
      <c r="I16" s="13" t="s">
        <v>239</v>
      </c>
      <c r="J16" s="3">
        <v>1</v>
      </c>
      <c r="K16" s="13" t="s">
        <v>239</v>
      </c>
      <c r="L16" s="3">
        <v>1</v>
      </c>
      <c r="M16" s="13" t="s">
        <v>239</v>
      </c>
      <c r="N16" s="3">
        <v>1</v>
      </c>
      <c r="O16" s="7" t="s">
        <v>239</v>
      </c>
      <c r="P16" s="7" t="s">
        <v>221</v>
      </c>
      <c r="Q16" s="7" t="s">
        <v>239</v>
      </c>
      <c r="R16" s="7" t="s">
        <v>30</v>
      </c>
      <c r="S16" s="13" t="s">
        <v>239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239</v>
      </c>
      <c r="AB16" s="3">
        <v>5.4793989999999999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236</v>
      </c>
      <c r="B17"/>
      <c r="E17" s="13" t="s">
        <v>240</v>
      </c>
      <c r="F17" s="3">
        <v>0</v>
      </c>
      <c r="G17" s="13" t="s">
        <v>240</v>
      </c>
      <c r="H17" s="3">
        <v>1</v>
      </c>
      <c r="I17" s="13" t="s">
        <v>240</v>
      </c>
      <c r="J17" s="3">
        <v>1</v>
      </c>
      <c r="K17" s="13" t="s">
        <v>240</v>
      </c>
      <c r="L17" s="3">
        <v>1</v>
      </c>
      <c r="M17" s="13" t="s">
        <v>240</v>
      </c>
      <c r="N17" s="3">
        <v>1</v>
      </c>
      <c r="O17" s="7" t="s">
        <v>240</v>
      </c>
      <c r="P17" s="7" t="s">
        <v>221</v>
      </c>
      <c r="Q17" s="7" t="s">
        <v>240</v>
      </c>
      <c r="R17" s="7" t="s">
        <v>30</v>
      </c>
      <c r="S17" s="13" t="s">
        <v>240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240</v>
      </c>
      <c r="AB17" s="3">
        <v>4.4793989999999999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228</v>
      </c>
      <c r="B18"/>
      <c r="E18" s="13" t="s">
        <v>241</v>
      </c>
      <c r="F18" s="3">
        <v>0</v>
      </c>
      <c r="G18" s="13" t="s">
        <v>241</v>
      </c>
      <c r="H18" s="3">
        <v>1</v>
      </c>
      <c r="I18" s="13" t="s">
        <v>241</v>
      </c>
      <c r="J18" s="3">
        <v>1</v>
      </c>
      <c r="K18" s="13" t="s">
        <v>241</v>
      </c>
      <c r="L18" s="3">
        <v>1</v>
      </c>
      <c r="M18" s="13" t="s">
        <v>241</v>
      </c>
      <c r="N18" s="3">
        <v>1</v>
      </c>
      <c r="O18" s="7" t="s">
        <v>241</v>
      </c>
      <c r="P18" s="7" t="s">
        <v>229</v>
      </c>
      <c r="Q18" s="7" t="s">
        <v>241</v>
      </c>
      <c r="R18" s="7" t="s">
        <v>30</v>
      </c>
      <c r="S18" s="13" t="s">
        <v>241</v>
      </c>
      <c r="T18" s="3">
        <v>-1</v>
      </c>
      <c r="U18" s="3">
        <v>-1</v>
      </c>
      <c r="V18" s="3">
        <v>-1</v>
      </c>
      <c r="W18" s="3">
        <v>1</v>
      </c>
      <c r="X18" s="3">
        <v>5</v>
      </c>
      <c r="Y18" s="3"/>
      <c r="Z18" s="3"/>
      <c r="AA18" s="13" t="s">
        <v>241</v>
      </c>
      <c r="AB18" s="3">
        <v>4.7911130000000002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241</v>
      </c>
      <c r="B19"/>
      <c r="E19" s="13" t="s">
        <v>228</v>
      </c>
      <c r="F19" s="3">
        <v>0</v>
      </c>
      <c r="G19" s="13" t="s">
        <v>228</v>
      </c>
      <c r="H19" s="3">
        <v>1</v>
      </c>
      <c r="I19" s="13" t="s">
        <v>228</v>
      </c>
      <c r="J19" s="3">
        <v>1</v>
      </c>
      <c r="K19" s="13" t="s">
        <v>228</v>
      </c>
      <c r="L19" s="3">
        <v>1</v>
      </c>
      <c r="M19" s="13" t="s">
        <v>228</v>
      </c>
      <c r="N19" s="3">
        <v>1</v>
      </c>
      <c r="O19" s="7" t="s">
        <v>228</v>
      </c>
      <c r="P19" s="7" t="s">
        <v>227</v>
      </c>
      <c r="Q19" s="7" t="s">
        <v>228</v>
      </c>
      <c r="R19" s="7" t="s">
        <v>30</v>
      </c>
      <c r="S19" s="13" t="s">
        <v>228</v>
      </c>
      <c r="T19" s="3">
        <v>-1</v>
      </c>
      <c r="U19" s="3">
        <v>-1</v>
      </c>
      <c r="V19" s="3">
        <v>-1</v>
      </c>
      <c r="W19" s="3">
        <v>1</v>
      </c>
      <c r="X19" s="3">
        <v>5</v>
      </c>
      <c r="Y19" s="3"/>
      <c r="Z19" s="3"/>
      <c r="AA19" s="13" t="s">
        <v>228</v>
      </c>
      <c r="AB19" s="3">
        <v>4.7911130000000002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193</v>
      </c>
      <c r="B20"/>
      <c r="E20" s="13" t="s">
        <v>242</v>
      </c>
      <c r="F20" s="3">
        <v>1</v>
      </c>
      <c r="G20" s="13" t="s">
        <v>242</v>
      </c>
      <c r="H20" s="3">
        <v>0</v>
      </c>
      <c r="I20" s="13" t="s">
        <v>242</v>
      </c>
      <c r="J20" s="3">
        <v>1</v>
      </c>
      <c r="K20" s="13" t="s">
        <v>242</v>
      </c>
      <c r="L20" s="3">
        <v>0</v>
      </c>
      <c r="M20" s="13" t="s">
        <v>242</v>
      </c>
      <c r="N20" s="3">
        <v>0</v>
      </c>
      <c r="O20" s="7" t="s">
        <v>242</v>
      </c>
      <c r="P20" s="7" t="s">
        <v>243</v>
      </c>
      <c r="Q20" s="7" t="s">
        <v>242</v>
      </c>
      <c r="R20" s="7" t="s">
        <v>30</v>
      </c>
      <c r="S20" s="13" t="s">
        <v>242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242</v>
      </c>
      <c r="AB20" s="3">
        <v>4.4793989999999999</v>
      </c>
      <c r="AD20" s="14">
        <v>2025</v>
      </c>
      <c r="AH20" s="7"/>
      <c r="AI20" s="7"/>
      <c r="AJ20" s="7"/>
      <c r="AM20" s="7" t="s">
        <v>11</v>
      </c>
    </row>
    <row r="21" spans="1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2026</v>
      </c>
      <c r="AH21" s="7"/>
      <c r="AI21" s="7"/>
      <c r="AJ21" s="7"/>
      <c r="AM21" s="7" t="s">
        <v>11</v>
      </c>
    </row>
    <row r="22" spans="1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2027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2028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2029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2030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8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2" sqref="A12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4" si="0">RIGHT(B15,1)</f>
        <v>8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E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 t="shared" si="0"/>
        <v>9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232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235</v>
      </c>
      <c r="U5" s="7">
        <v>100</v>
      </c>
      <c r="AZ5" t="s">
        <v>207</v>
      </c>
    </row>
    <row r="6" spans="1:60">
      <c r="A6" s="5">
        <f>SUM(A10:A95)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1</v>
      </c>
      <c r="H6" s="11"/>
      <c r="I6" s="11"/>
      <c r="J6" s="19" t="s">
        <v>233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SUM(AY10:AY74)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231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230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Q10" s="7" t="s">
        <v>230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1</v>
      </c>
      <c r="B11" s="7" t="s">
        <v>242</v>
      </c>
      <c r="C11" s="7" t="s">
        <v>195</v>
      </c>
      <c r="D11" s="7" t="s">
        <v>30</v>
      </c>
      <c r="E11" s="7" t="s">
        <v>243</v>
      </c>
      <c r="F11" s="7">
        <v>0</v>
      </c>
      <c r="G11" s="7">
        <v>1</v>
      </c>
      <c r="H11" s="7" t="s">
        <v>232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Q11" s="7" t="s">
        <v>226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240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1</v>
      </c>
      <c r="H12" s="7" t="s">
        <v>232</v>
      </c>
      <c r="I12" s="7">
        <v>1</v>
      </c>
      <c r="J12" s="7">
        <v>1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4.4793989999999999</v>
      </c>
      <c r="Q12" s="7" t="s">
        <v>240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225</v>
      </c>
      <c r="C13" s="7" t="s">
        <v>195</v>
      </c>
      <c r="D13" s="7" t="s">
        <v>30</v>
      </c>
      <c r="E13" s="7" t="s">
        <v>222</v>
      </c>
      <c r="F13" s="7">
        <v>1</v>
      </c>
      <c r="G13" s="7">
        <v>1</v>
      </c>
      <c r="H13" s="7" t="s">
        <v>232</v>
      </c>
      <c r="I13" s="7">
        <v>1</v>
      </c>
      <c r="J13" s="7">
        <v>1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Q13" s="7" t="s">
        <v>225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239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232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Q14" s="7" t="s">
        <v>239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7" t="s">
        <v>224</v>
      </c>
      <c r="C15" s="7" t="s">
        <v>195</v>
      </c>
      <c r="D15" s="7" t="s">
        <v>30</v>
      </c>
      <c r="E15" s="7" t="s">
        <v>222</v>
      </c>
      <c r="F15" s="7">
        <v>1</v>
      </c>
      <c r="G15" s="7">
        <v>1</v>
      </c>
      <c r="H15" s="7" t="s">
        <v>232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Q15" s="7" t="s">
        <v>224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7" t="s">
        <v>238</v>
      </c>
      <c r="C16" s="7" t="s">
        <v>195</v>
      </c>
      <c r="D16" s="7" t="s">
        <v>30</v>
      </c>
      <c r="E16" s="7" t="s">
        <v>221</v>
      </c>
      <c r="F16" s="7">
        <v>1</v>
      </c>
      <c r="G16" s="7">
        <v>1</v>
      </c>
      <c r="H16" s="7" t="s">
        <v>232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Q16" s="7" t="s">
        <v>238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7" t="s">
        <v>223</v>
      </c>
      <c r="C17" s="7" t="s">
        <v>195</v>
      </c>
      <c r="D17" s="7" t="s">
        <v>30</v>
      </c>
      <c r="E17" s="7" t="s">
        <v>222</v>
      </c>
      <c r="F17" s="7">
        <v>1</v>
      </c>
      <c r="G17" s="7">
        <v>1</v>
      </c>
      <c r="H17" s="7" t="s">
        <v>232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7.4793989999999999</v>
      </c>
      <c r="Q17" s="7" t="s">
        <v>223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 ht="14.25" customHeight="1">
      <c r="A18" s="22">
        <v>0</v>
      </c>
      <c r="B18" s="7" t="s">
        <v>237</v>
      </c>
      <c r="C18" s="7" t="s">
        <v>195</v>
      </c>
      <c r="D18" s="7" t="s">
        <v>30</v>
      </c>
      <c r="E18" s="7" t="s">
        <v>221</v>
      </c>
      <c r="F18" s="7">
        <v>1</v>
      </c>
      <c r="G18" s="7">
        <v>1</v>
      </c>
      <c r="H18" s="7" t="s">
        <v>232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7.4793989999999999</v>
      </c>
      <c r="Q18" s="7" t="s">
        <v>237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 ht="16.5" customHeight="1">
      <c r="A19" s="22">
        <v>0</v>
      </c>
      <c r="B19" s="7" t="s">
        <v>220</v>
      </c>
      <c r="C19" s="7" t="s">
        <v>195</v>
      </c>
      <c r="D19" s="7" t="s">
        <v>30</v>
      </c>
      <c r="E19" s="7" t="s">
        <v>222</v>
      </c>
      <c r="F19" s="7">
        <v>1</v>
      </c>
      <c r="G19" s="7">
        <v>1</v>
      </c>
      <c r="H19" s="7" t="s">
        <v>232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100</v>
      </c>
      <c r="Q19" s="7" t="s">
        <v>220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  <c r="BH19" s="7">
        <v>1</v>
      </c>
    </row>
    <row r="20" spans="1:60" s="7" customFormat="1" ht="17.25" customHeight="1">
      <c r="A20" s="22">
        <v>0</v>
      </c>
      <c r="B20" s="7" t="s">
        <v>236</v>
      </c>
      <c r="C20" s="7" t="s">
        <v>195</v>
      </c>
      <c r="D20" s="7" t="s">
        <v>30</v>
      </c>
      <c r="E20" s="7" t="s">
        <v>221</v>
      </c>
      <c r="F20" s="7">
        <v>1</v>
      </c>
      <c r="G20" s="7">
        <v>1</v>
      </c>
      <c r="H20" s="7" t="s">
        <v>232</v>
      </c>
      <c r="I20" s="7">
        <v>1</v>
      </c>
      <c r="J20" s="7">
        <v>1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Q20" s="7" t="s">
        <v>236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  <c r="BH20" s="7">
        <v>1</v>
      </c>
    </row>
    <row r="21" spans="1:60" s="7" customFormat="1">
      <c r="A21" s="22">
        <v>0</v>
      </c>
      <c r="B21" s="7" t="s">
        <v>228</v>
      </c>
      <c r="C21" s="7" t="s">
        <v>195</v>
      </c>
      <c r="D21" s="7" t="s">
        <v>30</v>
      </c>
      <c r="E21" s="7" t="s">
        <v>227</v>
      </c>
      <c r="F21" s="7">
        <v>1</v>
      </c>
      <c r="G21" s="7">
        <v>1</v>
      </c>
      <c r="H21" s="7" t="s">
        <v>231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5</v>
      </c>
      <c r="P21" s="7">
        <v>4.7911130000000002</v>
      </c>
      <c r="Q21" s="7" t="s">
        <v>228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</row>
    <row r="22" spans="1:60" s="7" customFormat="1">
      <c r="A22" s="22">
        <v>0</v>
      </c>
      <c r="B22" s="7" t="s">
        <v>241</v>
      </c>
      <c r="C22" s="7" t="s">
        <v>195</v>
      </c>
      <c r="D22" s="7" t="s">
        <v>30</v>
      </c>
      <c r="E22" s="7" t="s">
        <v>229</v>
      </c>
      <c r="F22" s="7">
        <v>1</v>
      </c>
      <c r="G22" s="7">
        <v>1</v>
      </c>
      <c r="H22" s="7" t="s">
        <v>231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5</v>
      </c>
      <c r="P22" s="7">
        <v>4.7911130000000002</v>
      </c>
      <c r="Q22" s="7" t="s">
        <v>241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</row>
    <row r="23" spans="1:60">
      <c r="A23" s="22"/>
      <c r="B23" s="7"/>
      <c r="E23" s="7"/>
      <c r="P23" s="7"/>
      <c r="Q23" s="7"/>
      <c r="AY23" s="7"/>
      <c r="AZ23" s="7"/>
    </row>
    <row r="24" spans="1:60" s="7" customFormat="1">
      <c r="A24" s="22"/>
    </row>
    <row r="25" spans="1:60" s="7" customFormat="1">
      <c r="A25" s="22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  <c r="E41" s="17"/>
    </row>
    <row r="42" spans="1:5" s="7" customFormat="1">
      <c r="A42" s="22"/>
      <c r="E42" s="17"/>
    </row>
    <row r="43" spans="1:5" s="7" customFormat="1">
      <c r="A43" s="22"/>
    </row>
    <row r="44" spans="1:5" s="7" customFormat="1">
      <c r="A44" s="22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 ht="14.25" customHeight="1">
      <c r="A50" s="22"/>
    </row>
    <row r="51" spans="1:1" s="7" customFormat="1" ht="16.5" customHeight="1">
      <c r="A51" s="22"/>
    </row>
    <row r="52" spans="1:1" s="7" customFormat="1" ht="17.25" customHeight="1">
      <c r="A52" s="22"/>
    </row>
    <row r="53" spans="1:1" s="7" customFormat="1">
      <c r="A53" s="22"/>
    </row>
    <row r="54" spans="1:1" s="7" customForma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>
      <c r="A75" s="22"/>
    </row>
    <row r="76" spans="1:4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</sheetData>
  <autoFilter ref="A9:BH74" xr:uid="{00000000-0001-0000-0E00-000000000000}"/>
  <sortState xmlns:xlrd2="http://schemas.microsoft.com/office/spreadsheetml/2017/richdata2" ref="A10:BH74">
    <sortCondition ref="B10:B74"/>
  </sortState>
  <mergeCells count="1">
    <mergeCell ref="R6:AE6"/>
  </mergeCells>
  <phoneticPr fontId="34" type="noConversion"/>
  <conditionalFormatting sqref="A75:A1048576 A1:A9">
    <cfRule type="iconSet" priority="749">
      <iconSet>
        <cfvo type="percent" val="0"/>
        <cfvo type="percent" val="33"/>
        <cfvo type="percent" val="67"/>
      </iconSet>
    </cfRule>
  </conditionalFormatting>
  <conditionalFormatting sqref="A10:A88">
    <cfRule type="iconSet" priority="1">
      <iconSet>
        <cfvo type="percent" val="0"/>
        <cfvo type="percent" val="33"/>
        <cfvo type="percent" val="67"/>
      </iconSet>
    </cfRule>
  </conditionalFormatting>
  <conditionalFormatting sqref="A13:A74">
    <cfRule type="iconSet" priority="48">
      <iconSet>
        <cfvo type="percent" val="0"/>
        <cfvo type="percent" val="33"/>
        <cfvo type="percent" val="67"/>
      </iconSet>
    </cfRule>
  </conditionalFormatting>
  <conditionalFormatting sqref="A70 A73">
    <cfRule type="iconSet" priority="30">
      <iconSet>
        <cfvo type="percent" val="0"/>
        <cfvo type="percent" val="33"/>
        <cfvo type="percent" val="67"/>
      </iconSet>
    </cfRule>
  </conditionalFormatting>
  <conditionalFormatting sqref="A71 A74">
    <cfRule type="iconSet" priority="24">
      <iconSet>
        <cfvo type="percent" val="0"/>
        <cfvo type="percent" val="33"/>
        <cfvo type="percent" val="67"/>
      </iconSet>
    </cfRule>
  </conditionalFormatting>
  <conditionalFormatting sqref="A70:A74">
    <cfRule type="iconSet" priority="18">
      <iconSet>
        <cfvo type="percent" val="0"/>
        <cfvo type="percent" val="33"/>
        <cfvo type="percent" val="67"/>
      </iconSet>
    </cfRule>
  </conditionalFormatting>
  <conditionalFormatting sqref="A70:A74">
    <cfRule type="iconSet" priority="17">
      <iconSet>
        <cfvo type="percent" val="0"/>
        <cfvo type="percent" val="33"/>
        <cfvo type="percent" val="67"/>
      </iconSet>
    </cfRule>
  </conditionalFormatting>
  <conditionalFormatting sqref="A70:A74">
    <cfRule type="iconSet" priority="16">
      <iconSet>
        <cfvo type="percent" val="0"/>
        <cfvo type="percent" val="33"/>
        <cfvo type="percent" val="67"/>
      </iconSet>
    </cfRule>
  </conditionalFormatting>
  <conditionalFormatting sqref="A70:A74">
    <cfRule type="iconSet" priority="15">
      <iconSet>
        <cfvo type="percent" val="0"/>
        <cfvo type="percent" val="33"/>
        <cfvo type="percent" val="67"/>
      </iconSet>
    </cfRule>
  </conditionalFormatting>
  <conditionalFormatting sqref="A70:A74">
    <cfRule type="iconSet" priority="14">
      <iconSet>
        <cfvo type="percent" val="0"/>
        <cfvo type="percent" val="33"/>
        <cfvo type="percent" val="67"/>
      </iconSet>
    </cfRule>
  </conditionalFormatting>
  <conditionalFormatting sqref="A70:A74">
    <cfRule type="iconSet" priority="19">
      <iconSet>
        <cfvo type="percent" val="0"/>
        <cfvo type="percent" val="33"/>
        <cfvo type="percent" val="67"/>
      </iconSet>
    </cfRule>
  </conditionalFormatting>
  <conditionalFormatting sqref="A13:A74">
    <cfRule type="iconSet" priority="801">
      <iconSet>
        <cfvo type="percent" val="0"/>
        <cfvo type="percent" val="33"/>
        <cfvo type="percent" val="67"/>
      </iconSet>
    </cfRule>
  </conditionalFormatting>
  <conditionalFormatting sqref="A13:A74">
    <cfRule type="iconSet" priority="809">
      <iconSet>
        <cfvo type="percent" val="0"/>
        <cfvo type="percent" val="33"/>
        <cfvo type="percent" val="67"/>
      </iconSet>
    </cfRule>
  </conditionalFormatting>
  <conditionalFormatting sqref="A13:A74">
    <cfRule type="iconSet" priority="815">
      <iconSet>
        <cfvo type="percent" val="0"/>
        <cfvo type="percent" val="33"/>
        <cfvo type="percent" val="67"/>
      </iconSet>
    </cfRule>
  </conditionalFormatting>
  <conditionalFormatting sqref="A11">
    <cfRule type="iconSet" priority="6">
      <iconSet>
        <cfvo type="percent" val="0"/>
        <cfvo type="percent" val="33"/>
        <cfvo type="percent" val="67"/>
      </iconSet>
    </cfRule>
  </conditionalFormatting>
  <conditionalFormatting sqref="A28">
    <cfRule type="iconSet" priority="5">
      <iconSet>
        <cfvo type="percent" val="0"/>
        <cfvo type="percent" val="33"/>
        <cfvo type="percent" val="67"/>
      </iconSet>
    </cfRule>
  </conditionalFormatting>
  <conditionalFormatting sqref="A29">
    <cfRule type="iconSet" priority="4">
      <iconSet>
        <cfvo type="percent" val="0"/>
        <cfvo type="percent" val="33"/>
        <cfvo type="percent" val="67"/>
      </iconSet>
    </cfRule>
  </conditionalFormatting>
  <conditionalFormatting sqref="A10:A74">
    <cfRule type="iconSet" priority="3">
      <iconSet>
        <cfvo type="percent" val="0"/>
        <cfvo type="percent" val="33"/>
        <cfvo type="percent" val="67"/>
      </iconSet>
    </cfRule>
  </conditionalFormatting>
  <conditionalFormatting sqref="A13:A74">
    <cfRule type="iconSet" priority="2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2021-10-26T08:06:48Z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