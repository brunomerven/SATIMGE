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C705793F-9246-42AA-9534-433121CB1F64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Scenarios!$A$9:$BH$77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0" r:id="rId9"/>
    <pivotCache cacheId="4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4" i="33" l="1"/>
  <c r="C20" i="4" l="1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tc={74ED5BC0-34BF-4332-A212-E29E53164926}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74ED5BC0-34BF-4332-A212-E29E5316492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7" authorId="3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<sst xmlns="http://schemas.openxmlformats.org/spreadsheetml/2006/main" count="589" uniqueCount="251">
  <si>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</si>
  <si>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</si>
  <si>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</si>
  <si>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</si>
  <si>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</si>
  <si>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</si>
  <si>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</si>
  <si>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</si>
  <si>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</si>
  <si>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</si>
  <si>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</si>
  <si>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</si>
  <si>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</si>
  <si>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</si>
  <si>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</si>
  <si>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</si>
  <si>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</si>
  <si>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</si>
  <si>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</si>
  <si>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</si>
  <si>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</si>
  <si>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</si>
  <si>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</si>
  <si>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</si>
  <si>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</si>
  <si>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</si>
  <si>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</si>
  <si>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</si>
  <si>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</si>
  <si>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</si>
  <si>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</si>
  <si>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</si>
  <si>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</si>
  <si>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</si>
  <si>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</si>
  <si>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</si>
  <si>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</si>
  <si>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</si>
  <si>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</si>
  <si>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</si>
  <si>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</si>
  <si>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</si>
  <si>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</si>
  <si>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</si>
  <si>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</si>
  <si>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</si>
  <si>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</si>
  <si>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</si>
  <si>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</si>
  <si>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</si>
  <si>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</si>
  <si>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</si>
  <si>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</si>
  <si>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</si>
  <si>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</si>
  <si>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</si>
  <si>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</si>
  <si>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</si>
  <si>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</si>
  <si>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</si>
  <si>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</si>
  <si>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</si>
  <si>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</si>
  <si>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</si>
  <si>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</si>
  <si>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</si>
  <si>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</si>
  <si>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</si>
  <si>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</si>
  <si>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</si>
  <si>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</si>
  <si>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</si>
  <si>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</si>
  <si>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</si>
  <si>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</si>
  <si>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</si>
  <si>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</si>
  <si>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</si>
  <si>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</si>
  <si>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</si>
  <si>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</si>
  <si>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</si>
  <si>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</si>
  <si>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</si>
  <si>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</si>
  <si>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</si>
  <si>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</si>
  <si>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</si>
  <si>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</si>
  <si>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</si>
  <si>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</si>
  <si>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</si>
  <si>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</si>
  <si>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</si>
  <si>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</si>
  <si>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</si>
  <si>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</si>
  <si>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</si>
  <si>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</si>
  <si>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</si>
  <si>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</si>
  <si>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</si>
  <si>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</si>
  <si>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</si>
  <si>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</si>
  <si>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</si>
  <si>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</si>
  <si>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</si>
  <si>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</si>
  <si>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</si>
  <si>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</si>
  <si>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</si>
  <si>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</si>
  <si>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</si>
  <si>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</si>
  <si>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</si>
  <si>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</si>
  <si>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</si>
  <si>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</si>
  <si>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</si>
  <si>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</si>
  <si>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</si>
  <si>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</si>
  <si>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</si>
  <si>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</si>
  <si>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</si>
  <si>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</si>
  <si>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</si>
  <si>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</si>
  <si>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</si>
  <si>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</si>
  <si>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</si>
  <si>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</si>
  <si>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</si>
  <si>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</si>
  <si>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</si>
  <si>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</si>
  <si>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</si>
  <si>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</si>
  <si>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</si>
  <si>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</si>
  <si>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</si>
  <si>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</si>
  <si>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</si>
  <si>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</si>
  <si>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</si>
  <si>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</si>
  <si>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</si>
  <si>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</si>
  <si>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</si>
  <si>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</si>
  <si>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</si>
  <si>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</si>
  <si>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</si>
  <si>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</si>
  <si>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</si>
  <si>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</si>
  <si>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</si>
  <si>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</si>
  <si>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</si>
  <si>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</si>
  <si>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</si>
  <si>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</si>
  <si>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</si>
  <si>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</si>
  <si>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</si>
  <si>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</si>
  <si>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</si>
  <si>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</si>
  <si>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</si>
  <si>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</si>
  <si>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</si>
  <si>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</si>
  <si>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</si>
  <si>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</si>
  <si>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</si>
  <si>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</si>
  <si>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</si>
  <si>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</si>
  <si>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</si>
  <si>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</si>
  <si>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</si>
  <si>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</si>
  <si>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</si>
  <si>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</si>
  <si>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</si>
  <si>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</si>
  <si>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</si>
  <si>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</si>
  <si>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</si>
  <si>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</si>
  <si>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</si>
  <si>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</si>
  <si>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</si>
  <si>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</si>
  <si>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</si>
  <si>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</si>
  <si>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</si>
  <si>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</si>
  <si>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</si>
  <si>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</si>
  <si>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</si>
  <si>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</si>
  <si>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</si>
  <si>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</si>
  <si>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</si>
  <si>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</si>
  <si>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</si>
  <si>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</si>
  <si>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</si>
  <si>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</si>
  <si>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</si>
  <si>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</si>
  <si>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</si>
  <si>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</si>
  <si>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</si>
  <si>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</si>
  <si>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</si>
  <si>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</si>
  <si>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</si>
  <si>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</si>
  <si>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</si>
  <si>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</si>
  <si>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</si>
  <si>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</si>
  <si>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</si>
  <si>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</si>
  <si>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</si>
  <si>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</si>
  <si>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</si>
  <si>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</si>
  <si>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</si>
  <si>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</si>
  <si>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</si>
  <si>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</si>
  <si>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</si>
  <si>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</si>
  <si>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</si>
  <si>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</si>
  <si>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</si>
  <si>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</si>
  <si>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</si>
  <si>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</si>
  <si>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</si>
  <si>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</si>
  <si>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</si>
  <si>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</si>
  <si>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0RG_NZ20_9</t>
  </si>
  <si>
    <t>SATIM Active</t>
  </si>
  <si>
    <t>TTIMES</t>
  </si>
  <si>
    <t>0RG_NZ20_75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</si>
</sst>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34.758375694444" createdVersion="6" refreshedVersion="8" minRefreshableVersion="3" recordCount="83" xr:uid="{C0EB43E8-6CC6-4DE4-B7F1-02B09F7BA69A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8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20_9"/>
        <s v="0RG_NZ20_75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WE"/>
        <s v="NZ-20NENH"/>
        <s v="NZ-20WENH"/>
        <s v="NZ-20NE"/>
        <s v="CP20NEWH"/>
        <s v="NZ-45WE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34.758376851853" createdVersion="6" refreshedVersion="8" minRefreshableVersion="3" recordCount="83" xr:uid="{D229C3DF-142A-4D15-BB2C-2EA205AB0203}">
  <cacheSource type="worksheet">
    <worksheetSource ref="A9:P12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8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20_9"/>
        <s v="0RG_NZ20_75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6"/>
    <n v="1"/>
    <n v="1"/>
    <s v="NZ_nopams_45afolu"/>
    <n v="1"/>
    <n v="1"/>
    <n v="-1"/>
    <n v="-1"/>
    <n v="-1"/>
    <n v="1"/>
    <n v="4"/>
    <n v="7.4793989999999999"/>
  </r>
  <r>
    <n v="1"/>
    <x v="14"/>
    <s v="yes tested"/>
    <x v="0"/>
    <x v="6"/>
    <n v="1"/>
    <n v="1"/>
    <s v="NZ_nopams_45afolu"/>
    <n v="1"/>
    <n v="1"/>
    <n v="-1"/>
    <n v="-1"/>
    <n v="-1"/>
    <n v="1"/>
    <n v="4"/>
    <n v="5.9793989999999999"/>
  </r>
  <r>
    <n v="0"/>
    <x v="15"/>
    <s v="yes tested"/>
    <x v="0"/>
    <x v="8"/>
    <n v="1"/>
    <n v="1"/>
    <s v="NZ_nopams_45afolu"/>
    <n v="0"/>
    <n v="0"/>
    <n v="-1"/>
    <n v="-1"/>
    <n v="-1"/>
    <n v="1"/>
    <n v="5"/>
    <n v="4.7911130000000002"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  <r>
    <m/>
    <x v="16"/>
    <m/>
    <x v="1"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20NE"/>
    <n v="1"/>
    <n v="1"/>
    <s v="NZ_nopams_45afolu"/>
    <n v="1"/>
    <n v="1"/>
    <n v="-1"/>
    <n v="-1"/>
    <n v="-1"/>
    <n v="1"/>
    <n v="4"/>
    <n v="7.4793989999999999"/>
  </r>
  <r>
    <n v="1"/>
    <x v="14"/>
    <s v="yes tested"/>
    <s v="base"/>
    <s v="NZ-20NE"/>
    <n v="1"/>
    <n v="1"/>
    <s v="NZ_nopams_45afolu"/>
    <n v="1"/>
    <n v="1"/>
    <n v="-1"/>
    <n v="-1"/>
    <n v="-1"/>
    <n v="1"/>
    <n v="4"/>
    <n v="5.9793989999999999"/>
  </r>
  <r>
    <n v="0"/>
    <x v="15"/>
    <s v="yes tested"/>
    <s v="base"/>
    <s v="NZ-45WE"/>
    <n v="1"/>
    <n v="1"/>
    <s v="NZ_nopams_45afolu"/>
    <n v="0"/>
    <n v="0"/>
    <n v="-1"/>
    <n v="-1"/>
    <n v="-1"/>
    <n v="1"/>
    <n v="5"/>
    <n v="4.7911130000000002"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  <r>
    <m/>
    <x v="1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2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8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6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9"/>
        <item m="1" x="57"/>
        <item m="1" x="25"/>
        <item m="1" x="69"/>
        <item m="1" x="84"/>
        <item m="1" x="53"/>
        <item m="1" x="59"/>
        <item m="1" x="54"/>
        <item m="1" x="41"/>
        <item m="1" x="12"/>
        <item m="1" x="67"/>
        <item m="1" x="10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4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3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1"/>
        <item m="1" x="103"/>
        <item x="3"/>
        <item x="6"/>
        <item m="1" x="88"/>
        <item m="1" x="15"/>
        <item m="1" x="27"/>
        <item x="8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4"/>
        <item x="5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3"/>
    </i>
    <i>
      <x v="93"/>
    </i>
    <i>
      <x v="106"/>
    </i>
    <i>
      <x v="107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23" firstHeaderRow="1" firstDataRow="1" firstDataCol="1"/>
  <pivotFields count="16">
    <pivotField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23" firstHeaderRow="1" firstDataRow="1" firstDataCol="1"/>
  <pivotFields count="16">
    <pivotField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23" firstHeaderRow="1" firstDataRow="1" firstDataCol="1"/>
  <pivotFields count="16">
    <pivotField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23" firstHeaderRow="1" firstDataRow="1" firstDataCol="1"/>
  <pivotFields count="16">
    <pivotField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2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8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9"/>
        <item m="1" x="57"/>
        <item m="1" x="25"/>
        <item m="1" x="69"/>
        <item m="1" x="84"/>
        <item m="1" x="53"/>
        <item m="1" x="59"/>
        <item m="1" x="54"/>
        <item m="1" x="41"/>
        <item m="1" x="12"/>
        <item m="1" x="67"/>
        <item m="1" x="10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4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3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1"/>
        <item m="1" x="103"/>
        <item x="3"/>
        <item x="6"/>
        <item m="1" x="88"/>
        <item m="1" x="15"/>
        <item m="1" x="27"/>
        <item x="8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4"/>
        <item x="5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7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1"/>
    </i>
    <i>
      <x v="7"/>
      <x v="118"/>
    </i>
    <i>
      <x v="8"/>
      <x v="124"/>
    </i>
    <i>
      <x v="9"/>
      <x v="125"/>
    </i>
    <i>
      <x v="10"/>
      <x v="130"/>
    </i>
    <i>
      <x v="11"/>
      <x v="130"/>
    </i>
    <i>
      <x v="12"/>
      <x v="107"/>
    </i>
    <i>
      <x v="13"/>
      <x v="106"/>
    </i>
    <i>
      <x v="14"/>
      <x v="93"/>
    </i>
    <i>
      <x v="15"/>
      <x v="131"/>
    </i>
    <i>
      <x v="16"/>
      <x v="107"/>
    </i>
    <i>
      <x v="17"/>
      <x v="10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23" firstHeaderRow="1" firstDataRow="1" firstDataCol="1"/>
  <pivotFields count="16">
    <pivotField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23" firstHeaderRow="0" firstDataRow="1" firstDataCol="1"/>
  <pivotFields count="16">
    <pivotField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23" firstHeaderRow="1" firstDataRow="1" firstDataCol="1"/>
  <pivotFields count="16">
    <pivotField dataField="1" showAll="0"/>
    <pivotField axis="axisRow" showAll="0">
      <items count="19">
        <item x="16"/>
        <item m="1" x="17"/>
        <item x="11"/>
        <item x="0"/>
        <item x="12"/>
        <item x="4"/>
        <item x="15"/>
        <item x="1"/>
        <item x="5"/>
        <item x="6"/>
        <item x="10"/>
        <item x="9"/>
        <item x="7"/>
        <item x="8"/>
        <item x="2"/>
        <item x="3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23" firstHeaderRow="1" firstDataRow="1" firstDataCol="1"/>
  <pivotFields count="16">
    <pivotField showAll="0"/>
    <pivotField axis="axisRow" showAll="0" sortType="ascending">
      <items count="19">
        <item m="1" x="17"/>
        <item x="10"/>
        <item x="9"/>
        <item x="0"/>
        <item x="1"/>
        <item x="4"/>
        <item x="14"/>
        <item x="7"/>
        <item x="5"/>
        <item x="8"/>
        <item x="6"/>
        <item x="13"/>
        <item x="11"/>
        <item x="12"/>
        <item x="15"/>
        <item x="2"/>
        <item x="3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74ED5BC0-34BF-4332-A212-E29E53164926}">
    <text>Note that there is still a problem running with other cases here - still looking into it.</text>
  </threadedComment>
  <threadedComment ref="D25" dT="2020-08-07T12:32:29.60" personId="{8A307EF1-062C-4DD1-801F-D45833AE4B68}" id="{5339361E-9549-475B-906E-A3B74FCE10E9}">
    <text>Note that there is still a problem running with other cases here - still looking into it.</text>
  </threadedComment>
  <threadedComment ref="D26" dT="2020-08-07T12:32:29.60" personId="{8A307EF1-062C-4DD1-801F-D45833AE4B68}" id="{F8D04539-B167-435E-92BD-A52C8FD12C50}">
    <text>Note that there is still a problem running with other cases here - still looking into it.</text>
  </threadedComment>
  <threadedComment ref="D27" dT="2020-08-07T12:32:29.60" personId="{8A307EF1-062C-4DD1-801F-D45833AE4B68}" id="{7A9E32FD-5EBA-4047-9D71-8B1B1311F04B}">
    <text>Note that there is still a problem running with other cases here - still looking into it.</text>
  </threadedComment>
  <threadedComment ref="D28" dT="2020-08-07T12:32:29.60" personId="{8A307EF1-062C-4DD1-801F-D45833AE4B68}" id="{4DD21D2A-3E6D-4FF1-9945-B1C066CEF212}">
    <text>Note that there is still a problem running with other cases here - still looking into it.</text>
  </threadedComment>
  <threadedComment ref="D29" dT="2020-08-07T12:32:29.60" personId="{8A307EF1-062C-4DD1-801F-D45833AE4B68}" id="{7D40445D-4074-4C20-80C3-E8E278559197}">
    <text>Note that there is still a problem running with other cases here - still looking into it.</text>
  </threadedComment>
  <threadedComment ref="D30" dT="2020-08-07T12:32:29.60" personId="{8A307EF1-062C-4DD1-801F-D45833AE4B68}" id="{E99C0E29-E7B8-476F-A7AD-A7A8D75D28A9}">
    <text>Note that there is still a problem running with other cases here - still looking into it.</text>
  </threadedComment>
  <threadedComment ref="D31" dT="2020-08-07T12:32:29.60" personId="{8A307EF1-062C-4DD1-801F-D45833AE4B68}" id="{E96716FF-CE27-485D-8A10-C9E733DB6A86}">
    <text>Note that there is still a problem running with other cases here - still looking into it.</text>
  </threadedComment>
  <threadedComment ref="D32" dT="2020-08-07T12:32:29.60" personId="{8A307EF1-062C-4DD1-801F-D45833AE4B68}" id="{4D2EFD36-0D4D-4BBC-84F9-6656BEE0624A}">
    <text>Note that there is still a problem running with other cases here - still looking into it.</text>
  </threadedComment>
  <threadedComment ref="D33" dT="2020-08-07T12:32:29.60" personId="{8A307EF1-062C-4DD1-801F-D45833AE4B68}" id="{D0494433-42D8-4479-9B9E-47F973684D64}">
    <text>Note that there is still a problem running with other cases here - still looking into it.</text>
  </threadedComment>
  <threadedComment ref="D34" dT="2020-08-07T12:32:29.60" personId="{8A307EF1-062C-4DD1-801F-D45833AE4B68}" id="{774138A9-CA65-4FA1-8925-2FC98647A1D8}">
    <text>Note that there is still a problem running with other cases here - still looking into it.</text>
  </threadedComment>
  <threadedComment ref="D35" dT="2020-08-07T12:32:29.60" personId="{8A307EF1-062C-4DD1-801F-D45833AE4B68}" id="{2B2E9494-0FF5-4BE3-917A-AB0CA3686EEF}">
    <text>Note that there is still a problem running with other cases here - still looking into it.</text>
  </threadedComment>
  <threadedComment ref="D36" dT="2020-08-07T12:32:29.60" personId="{8A307EF1-062C-4DD1-801F-D45833AE4B68}" id="{F7455BD2-C409-4DE2-B630-94650AF5B1A8}">
    <text>Note that there is still a problem running with other cases here - still looking into it.</text>
  </threadedComment>
  <threadedComment ref="D37" dT="2020-08-07T12:32:29.60" personId="{8A307EF1-062C-4DD1-801F-D45833AE4B68}" id="{D603493A-7273-4879-85CD-3C7962CCF3C6}">
    <text>Note that there is still a problem running with other cases here - still looking into it.</text>
  </threadedComment>
  <threadedComment ref="D38" dT="2020-08-07T12:32:29.60" personId="{8A307EF1-062C-4DD1-801F-D45833AE4B68}" id="{40FD5F70-AE3C-4C12-995B-F22CD38A59C3}">
    <text>Note that there is still a problem running with other cases here - still looking into it.</text>
  </threadedComment>
  <threadedComment ref="D39" dT="2020-08-07T12:32:29.60" personId="{8A307EF1-062C-4DD1-801F-D45833AE4B68}" id="{3D999BBF-4D0F-4FEC-AE00-EC572EA512F9}">
    <text>Note that there is still a problem running with other cases here - still looking into it.</text>
  </threadedComment>
  <threadedComment ref="D40" dT="2020-08-07T12:32:29.60" personId="{8A307EF1-062C-4DD1-801F-D45833AE4B68}" id="{F451622A-C364-4F1C-882A-E0B9970B0FA3}">
    <text>Note that there is still a problem running with other cases here - still looking into it.</text>
  </threadedComment>
  <threadedComment ref="D41" dT="2020-08-07T12:32:29.60" personId="{8A307EF1-062C-4DD1-801F-D45833AE4B68}" id="{44F43EB0-7C19-4B54-BD76-854AEA9594F0}">
    <text>Note that there is still a problem running with other cases here - still looking into it.</text>
  </threadedComment>
  <threadedComment ref="D42" dT="2020-08-07T12:32:29.60" personId="{8A307EF1-062C-4DD1-801F-D45833AE4B68}" id="{72DAE713-F64D-4A4B-92A3-6E290B1C08AC}">
    <text>Note that there is still a problem running with other cases here - still looking into it.</text>
  </threadedComment>
  <threadedComment ref="D43" dT="2020-08-07T12:32:29.60" personId="{8A307EF1-062C-4DD1-801F-D45833AE4B68}" id="{8DC95888-1B09-4C2A-8946-9480A3A0A5C3}">
    <text>Note that there is still a problem running with other cases here - still looking into it.</text>
  </threadedComment>
  <threadedComment ref="D44" dT="2020-08-07T12:32:29.60" personId="{8A307EF1-062C-4DD1-801F-D45833AE4B68}" id="{6DB6B67F-BF22-490F-8851-F4A3280BA24B}">
    <text>Note that there is still a problem running with other cases here - still looking into it.</text>
  </threadedComment>
  <threadedComment ref="D45" dT="2020-08-07T12:32:29.60" personId="{8A307EF1-062C-4DD1-801F-D45833AE4B68}" id="{DD0D03D5-0E45-47B1-BB19-3D43552EF1AF}">
    <text>Note that there is still a problem running with other cases here - still looking into it.</text>
  </threadedComment>
  <threadedComment ref="D46" dT="2020-08-07T12:32:29.60" personId="{8A307EF1-062C-4DD1-801F-D45833AE4B68}" id="{2E057A1D-61F2-468B-8278-F722F83FC647}">
    <text>Note that there is still a problem running with other cases here - still looking into it.</text>
  </threadedComment>
  <threadedComment ref="D7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249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F5" sqref="AF5:AF33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248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249</v>
      </c>
      <c r="AH6" s="7"/>
    </row>
    <row r="7" spans="1:39">
      <c r="A7" s="13" t="s">
        <v>240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2048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241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>
        <f>IF(OR(AE7=2050,AE7=""),"",AE7+1)</f>
        <v>2049</v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224</v>
      </c>
      <c r="B9" s="13" t="s">
        <v>221</v>
      </c>
      <c r="C9" s="13" t="s">
        <v>32</v>
      </c>
      <c r="D9"/>
      <c r="E9" s="13" t="s">
        <v>224</v>
      </c>
      <c r="F9" s="3">
        <v>0</v>
      </c>
      <c r="G9" s="13" t="s">
        <v>224</v>
      </c>
      <c r="H9" s="3">
        <v>0</v>
      </c>
      <c r="I9" s="13" t="s">
        <v>224</v>
      </c>
      <c r="J9" s="3">
        <v>1</v>
      </c>
      <c r="K9" s="13" t="s">
        <v>224</v>
      </c>
      <c r="L9" s="3">
        <v>0</v>
      </c>
      <c r="M9" s="13" t="s">
        <v>224</v>
      </c>
      <c r="N9" s="3">
        <v>0</v>
      </c>
      <c r="O9" s="7" t="s">
        <v>224</v>
      </c>
      <c r="P9" s="7" t="s">
        <v>219</v>
      </c>
      <c r="Q9" s="7" t="s">
        <v>224</v>
      </c>
      <c r="R9" s="7" t="s">
        <v>30</v>
      </c>
      <c r="S9" s="13" t="s">
        <v>224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224</v>
      </c>
      <c r="AB9" s="3">
        <v>100</v>
      </c>
      <c r="AC9" s="3"/>
      <c r="AD9" s="14">
        <v>2021</v>
      </c>
      <c r="AE9" s="14">
        <f>IF(OR(AE8=2050,AE8=""),"",AE8+1)</f>
        <v>2050</v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233</v>
      </c>
      <c r="B10" s="13" t="s">
        <v>222</v>
      </c>
      <c r="C10" s="13" t="s">
        <v>46</v>
      </c>
      <c r="D10"/>
      <c r="E10" s="13" t="s">
        <v>230</v>
      </c>
      <c r="F10" s="3">
        <v>0</v>
      </c>
      <c r="G10" s="13" t="s">
        <v>230</v>
      </c>
      <c r="H10" s="3">
        <v>1</v>
      </c>
      <c r="I10" s="13" t="s">
        <v>230</v>
      </c>
      <c r="J10" s="3">
        <v>1</v>
      </c>
      <c r="K10" s="13" t="s">
        <v>230</v>
      </c>
      <c r="L10" s="3">
        <v>1</v>
      </c>
      <c r="M10" s="13" t="s">
        <v>230</v>
      </c>
      <c r="N10" s="3">
        <v>1</v>
      </c>
      <c r="O10" s="7" t="s">
        <v>230</v>
      </c>
      <c r="P10" s="7" t="s">
        <v>221</v>
      </c>
      <c r="Q10" s="7" t="s">
        <v>230</v>
      </c>
      <c r="R10" s="7" t="s">
        <v>30</v>
      </c>
      <c r="S10" s="13" t="s">
        <v>230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230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231</v>
      </c>
      <c r="B11" s="13" t="s">
        <v>223</v>
      </c>
      <c r="C11" s="13" t="s">
        <v>47</v>
      </c>
      <c r="D11"/>
      <c r="E11" s="13" t="s">
        <v>231</v>
      </c>
      <c r="F11" s="3">
        <v>0</v>
      </c>
      <c r="G11" s="13" t="s">
        <v>231</v>
      </c>
      <c r="H11" s="3">
        <v>1</v>
      </c>
      <c r="I11" s="13" t="s">
        <v>231</v>
      </c>
      <c r="J11" s="3">
        <v>1</v>
      </c>
      <c r="K11" s="13" t="s">
        <v>231</v>
      </c>
      <c r="L11" s="3">
        <v>1</v>
      </c>
      <c r="M11" s="13" t="s">
        <v>231</v>
      </c>
      <c r="N11" s="3">
        <v>1</v>
      </c>
      <c r="O11" s="7" t="s">
        <v>231</v>
      </c>
      <c r="P11" s="7" t="s">
        <v>221</v>
      </c>
      <c r="Q11" s="7" t="s">
        <v>231</v>
      </c>
      <c r="R11" s="7" t="s">
        <v>30</v>
      </c>
      <c r="S11" s="13" t="s">
        <v>231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231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250</v>
      </c>
      <c r="B12" s="13" t="s">
        <v>234</v>
      </c>
      <c r="C12" s="13" t="s">
        <v>48</v>
      </c>
      <c r="D12" s="13"/>
      <c r="E12" s="13" t="s">
        <v>232</v>
      </c>
      <c r="F12" s="3">
        <v>0</v>
      </c>
      <c r="G12" s="13" t="s">
        <v>232</v>
      </c>
      <c r="H12" s="3">
        <v>1</v>
      </c>
      <c r="I12" s="13" t="s">
        <v>232</v>
      </c>
      <c r="J12" s="3">
        <v>1</v>
      </c>
      <c r="K12" s="13" t="s">
        <v>232</v>
      </c>
      <c r="L12" s="3">
        <v>0</v>
      </c>
      <c r="M12" s="13" t="s">
        <v>232</v>
      </c>
      <c r="N12" s="3">
        <v>0</v>
      </c>
      <c r="O12" s="7" t="s">
        <v>232</v>
      </c>
      <c r="P12" s="7" t="s">
        <v>223</v>
      </c>
      <c r="Q12" s="7" t="s">
        <v>232</v>
      </c>
      <c r="R12" s="7" t="s">
        <v>30</v>
      </c>
      <c r="S12" s="13" t="s">
        <v>232</v>
      </c>
      <c r="T12" s="3">
        <v>-1</v>
      </c>
      <c r="U12" s="3">
        <v>-1</v>
      </c>
      <c r="V12" s="3">
        <v>-1</v>
      </c>
      <c r="W12" s="3">
        <v>1</v>
      </c>
      <c r="X12" s="3">
        <v>5</v>
      </c>
      <c r="Y12" s="3"/>
      <c r="Z12" s="3"/>
      <c r="AA12" s="13" t="s">
        <v>232</v>
      </c>
      <c r="AB12" s="3">
        <v>4.7911130000000002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242</v>
      </c>
      <c r="B13" s="13" t="s">
        <v>237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0</v>
      </c>
      <c r="I13" s="13" t="s">
        <v>233</v>
      </c>
      <c r="J13" s="3">
        <v>1</v>
      </c>
      <c r="K13" s="13" t="s">
        <v>233</v>
      </c>
      <c r="L13" s="3">
        <v>0</v>
      </c>
      <c r="M13" s="13" t="s">
        <v>233</v>
      </c>
      <c r="N13" s="3">
        <v>0</v>
      </c>
      <c r="O13" s="7" t="s">
        <v>233</v>
      </c>
      <c r="P13" s="7" t="s">
        <v>234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4.4793989999999999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235</v>
      </c>
      <c r="B14" s="13" t="s">
        <v>238</v>
      </c>
      <c r="C14" s="13" t="s">
        <v>50</v>
      </c>
      <c r="D14" s="13"/>
      <c r="E14" s="13" t="s">
        <v>235</v>
      </c>
      <c r="F14" s="3">
        <v>0</v>
      </c>
      <c r="G14" s="13" t="s">
        <v>235</v>
      </c>
      <c r="H14" s="3">
        <v>1</v>
      </c>
      <c r="I14" s="13" t="s">
        <v>235</v>
      </c>
      <c r="J14" s="3">
        <v>1</v>
      </c>
      <c r="K14" s="13" t="s">
        <v>235</v>
      </c>
      <c r="L14" s="3">
        <v>1</v>
      </c>
      <c r="M14" s="13" t="s">
        <v>235</v>
      </c>
      <c r="N14" s="3">
        <v>1</v>
      </c>
      <c r="O14" s="7" t="s">
        <v>235</v>
      </c>
      <c r="P14" s="7" t="s">
        <v>237</v>
      </c>
      <c r="Q14" s="7" t="s">
        <v>235</v>
      </c>
      <c r="R14" s="7" t="s">
        <v>30</v>
      </c>
      <c r="S14" s="13" t="s">
        <v>235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235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243</v>
      </c>
      <c r="B15" s="13" t="s">
        <v>239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1</v>
      </c>
      <c r="I15" s="13" t="s">
        <v>236</v>
      </c>
      <c r="J15" s="3">
        <v>1</v>
      </c>
      <c r="K15" s="13" t="s">
        <v>236</v>
      </c>
      <c r="L15" s="3">
        <v>1</v>
      </c>
      <c r="M15" s="13" t="s">
        <v>236</v>
      </c>
      <c r="N15" s="3">
        <v>1</v>
      </c>
      <c r="O15" s="7" t="s">
        <v>236</v>
      </c>
      <c r="P15" s="7" t="s">
        <v>238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6.4793989999999999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236</v>
      </c>
      <c r="B16" s="13" t="s">
        <v>245</v>
      </c>
      <c r="C16" s="13" t="s">
        <v>52</v>
      </c>
      <c r="D16" s="13"/>
      <c r="E16" s="13" t="s">
        <v>240</v>
      </c>
      <c r="F16" s="3">
        <v>0</v>
      </c>
      <c r="G16" s="13" t="s">
        <v>240</v>
      </c>
      <c r="H16" s="3">
        <v>0</v>
      </c>
      <c r="I16" s="13" t="s">
        <v>240</v>
      </c>
      <c r="J16" s="3">
        <v>1</v>
      </c>
      <c r="K16" s="13" t="s">
        <v>240</v>
      </c>
      <c r="L16" s="3">
        <v>0</v>
      </c>
      <c r="M16" s="13" t="s">
        <v>240</v>
      </c>
      <c r="N16" s="3">
        <v>0</v>
      </c>
      <c r="O16" s="7" t="s">
        <v>240</v>
      </c>
      <c r="P16" s="7" t="s">
        <v>239</v>
      </c>
      <c r="Q16" s="7" t="s">
        <v>240</v>
      </c>
      <c r="R16" s="7" t="s">
        <v>30</v>
      </c>
      <c r="S16" s="13" t="s">
        <v>240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240</v>
      </c>
      <c r="AB16" s="3">
        <v>100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247</v>
      </c>
      <c r="B17"/>
      <c r="E17" s="13" t="s">
        <v>241</v>
      </c>
      <c r="F17" s="3">
        <v>0</v>
      </c>
      <c r="G17" s="13" t="s">
        <v>241</v>
      </c>
      <c r="H17" s="3">
        <v>1</v>
      </c>
      <c r="I17" s="13" t="s">
        <v>241</v>
      </c>
      <c r="J17" s="3">
        <v>1</v>
      </c>
      <c r="K17" s="13" t="s">
        <v>241</v>
      </c>
      <c r="L17" s="3">
        <v>1</v>
      </c>
      <c r="M17" s="13" t="s">
        <v>241</v>
      </c>
      <c r="N17" s="3">
        <v>1</v>
      </c>
      <c r="O17" s="7" t="s">
        <v>241</v>
      </c>
      <c r="P17" s="7" t="s">
        <v>239</v>
      </c>
      <c r="Q17" s="7" t="s">
        <v>241</v>
      </c>
      <c r="R17" s="7" t="s">
        <v>30</v>
      </c>
      <c r="S17" s="13" t="s">
        <v>241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241</v>
      </c>
      <c r="AB17" s="3">
        <v>7.75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220</v>
      </c>
      <c r="B18"/>
      <c r="E18" s="13" t="s">
        <v>242</v>
      </c>
      <c r="F18" s="3">
        <v>0</v>
      </c>
      <c r="G18" s="13" t="s">
        <v>242</v>
      </c>
      <c r="H18" s="3">
        <v>1</v>
      </c>
      <c r="I18" s="13" t="s">
        <v>242</v>
      </c>
      <c r="J18" s="3">
        <v>1</v>
      </c>
      <c r="K18" s="13" t="s">
        <v>242</v>
      </c>
      <c r="L18" s="3">
        <v>1</v>
      </c>
      <c r="M18" s="13" t="s">
        <v>242</v>
      </c>
      <c r="N18" s="3">
        <v>1</v>
      </c>
      <c r="O18" s="7" t="s">
        <v>242</v>
      </c>
      <c r="P18" s="7" t="s">
        <v>222</v>
      </c>
      <c r="Q18" s="7" t="s">
        <v>242</v>
      </c>
      <c r="R18" s="7" t="s">
        <v>30</v>
      </c>
      <c r="S18" s="13" t="s">
        <v>242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242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230</v>
      </c>
      <c r="B19"/>
      <c r="E19" s="13" t="s">
        <v>243</v>
      </c>
      <c r="F19" s="3">
        <v>0</v>
      </c>
      <c r="G19" s="13" t="s">
        <v>243</v>
      </c>
      <c r="H19" s="3">
        <v>1</v>
      </c>
      <c r="I19" s="13" t="s">
        <v>243</v>
      </c>
      <c r="J19" s="3">
        <v>1</v>
      </c>
      <c r="K19" s="13" t="s">
        <v>243</v>
      </c>
      <c r="L19" s="3">
        <v>1</v>
      </c>
      <c r="M19" s="13" t="s">
        <v>243</v>
      </c>
      <c r="N19" s="3">
        <v>1</v>
      </c>
      <c r="O19" s="7" t="s">
        <v>243</v>
      </c>
      <c r="P19" s="7" t="s">
        <v>221</v>
      </c>
      <c r="Q19" s="7" t="s">
        <v>243</v>
      </c>
      <c r="R19" s="7" t="s">
        <v>30</v>
      </c>
      <c r="S19" s="13" t="s">
        <v>243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243</v>
      </c>
      <c r="AB19" s="3">
        <v>6.4793989999999999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232</v>
      </c>
      <c r="B20"/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219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244</v>
      </c>
      <c r="B21"/>
      <c r="E21" s="13" t="s">
        <v>246</v>
      </c>
      <c r="F21" s="3">
        <v>0</v>
      </c>
      <c r="G21" s="13" t="s">
        <v>246</v>
      </c>
      <c r="H21" s="3">
        <v>0</v>
      </c>
      <c r="I21" s="13" t="s">
        <v>246</v>
      </c>
      <c r="J21" s="3">
        <v>1</v>
      </c>
      <c r="K21" s="13" t="s">
        <v>246</v>
      </c>
      <c r="L21" s="3">
        <v>0</v>
      </c>
      <c r="M21" s="13" t="s">
        <v>246</v>
      </c>
      <c r="N21" s="3">
        <v>0</v>
      </c>
      <c r="O21" s="7" t="s">
        <v>246</v>
      </c>
      <c r="P21" s="7" t="s">
        <v>245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100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246</v>
      </c>
      <c r="B22"/>
      <c r="E22" s="13" t="s">
        <v>247</v>
      </c>
      <c r="F22" s="3">
        <v>0</v>
      </c>
      <c r="G22" s="13" t="s">
        <v>247</v>
      </c>
      <c r="H22" s="3">
        <v>1</v>
      </c>
      <c r="I22" s="13" t="s">
        <v>247</v>
      </c>
      <c r="J22" s="3">
        <v>1</v>
      </c>
      <c r="K22" s="13" t="s">
        <v>247</v>
      </c>
      <c r="L22" s="3">
        <v>1</v>
      </c>
      <c r="M22" s="13" t="s">
        <v>247</v>
      </c>
      <c r="N22" s="3">
        <v>1</v>
      </c>
      <c r="O22" s="7" t="s">
        <v>247</v>
      </c>
      <c r="P22" s="7" t="s">
        <v>222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7.4793989999999999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193</v>
      </c>
      <c r="B23"/>
      <c r="E23" s="13" t="s">
        <v>250</v>
      </c>
      <c r="F23" s="3">
        <v>1</v>
      </c>
      <c r="G23" s="13" t="s">
        <v>250</v>
      </c>
      <c r="H23" s="3">
        <v>1</v>
      </c>
      <c r="I23" s="13" t="s">
        <v>250</v>
      </c>
      <c r="J23" s="3">
        <v>1</v>
      </c>
      <c r="K23" s="13" t="s">
        <v>250</v>
      </c>
      <c r="L23" s="3">
        <v>1</v>
      </c>
      <c r="M23" s="13" t="s">
        <v>250</v>
      </c>
      <c r="N23" s="3">
        <v>1</v>
      </c>
      <c r="O23" s="7" t="s">
        <v>250</v>
      </c>
      <c r="P23" s="7" t="s">
        <v>222</v>
      </c>
      <c r="Q23" s="7" t="s">
        <v>250</v>
      </c>
      <c r="R23" s="7" t="s">
        <v>30</v>
      </c>
      <c r="S23" s="13" t="s">
        <v>250</v>
      </c>
      <c r="T23" s="3">
        <v>-1</v>
      </c>
      <c r="U23" s="3">
        <v>-1</v>
      </c>
      <c r="V23" s="3">
        <v>-1</v>
      </c>
      <c r="W23" s="3">
        <v>1</v>
      </c>
      <c r="X23" s="3">
        <v>4</v>
      </c>
      <c r="Y23" s="3"/>
      <c r="Z23" s="3"/>
      <c r="AA23" s="13" t="s">
        <v>250</v>
      </c>
      <c r="AB23" s="3">
        <v>5.9793989999999999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F24" s="7">
        <v>2031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F25" s="7">
        <v>2032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F26" s="7">
        <v>2033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F27" s="7">
        <v>2034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F28" s="7">
        <v>2035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F29" s="7">
        <v>2036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F30" s="7">
        <v>2037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F31" s="7">
        <v>2040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F32" s="7">
        <v>2045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F33" s="7">
        <v>2050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1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P23" sqref="P2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226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229</v>
      </c>
      <c r="U5" s="7">
        <v>100</v>
      </c>
      <c r="AZ5" t="s">
        <v>207</v>
      </c>
    </row>
    <row r="6" spans="1:60">
      <c r="A6" s="5">
        <f>SUM(A10:A98)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3</v>
      </c>
      <c r="H6" s="11"/>
      <c r="I6" s="11"/>
      <c r="J6" s="19" t="s">
        <v>227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SUM(AY10:AY77)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228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225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224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233</v>
      </c>
      <c r="C11" s="7" t="s">
        <v>195</v>
      </c>
      <c r="D11" s="7" t="s">
        <v>30</v>
      </c>
      <c r="E11" s="7" t="s">
        <v>234</v>
      </c>
      <c r="F11" s="7">
        <v>0</v>
      </c>
      <c r="G11" s="7">
        <v>1</v>
      </c>
      <c r="H11" s="7" t="s">
        <v>226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244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226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246</v>
      </c>
      <c r="C13" s="7" t="s">
        <v>195</v>
      </c>
      <c r="D13" s="7" t="s">
        <v>30</v>
      </c>
      <c r="E13" s="7" t="s">
        <v>245</v>
      </c>
      <c r="F13" s="7">
        <v>0</v>
      </c>
      <c r="G13" s="7">
        <v>1</v>
      </c>
      <c r="H13" s="7" t="s">
        <v>226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231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226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235</v>
      </c>
      <c r="C15" s="7" t="s">
        <v>195</v>
      </c>
      <c r="D15" s="7" t="s">
        <v>30</v>
      </c>
      <c r="E15" s="17" t="s">
        <v>237</v>
      </c>
      <c r="F15" s="7">
        <v>1</v>
      </c>
      <c r="G15" s="7">
        <v>1</v>
      </c>
      <c r="H15" s="7" t="s">
        <v>226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236</v>
      </c>
      <c r="C16" s="7" t="s">
        <v>195</v>
      </c>
      <c r="D16" s="7" t="s">
        <v>30</v>
      </c>
      <c r="E16" s="17" t="s">
        <v>238</v>
      </c>
      <c r="F16" s="7">
        <v>1</v>
      </c>
      <c r="G16" s="7">
        <v>1</v>
      </c>
      <c r="H16" s="7" t="s">
        <v>226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242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226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243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226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241</v>
      </c>
      <c r="C19" s="7" t="s">
        <v>195</v>
      </c>
      <c r="D19" s="7" t="s">
        <v>30</v>
      </c>
      <c r="E19" s="17" t="s">
        <v>239</v>
      </c>
      <c r="F19" s="7">
        <v>1</v>
      </c>
      <c r="G19" s="7">
        <v>1</v>
      </c>
      <c r="H19" s="7" t="s">
        <v>226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240</v>
      </c>
      <c r="C20" s="7" t="s">
        <v>195</v>
      </c>
      <c r="D20" s="7" t="s">
        <v>30</v>
      </c>
      <c r="E20" s="17" t="s">
        <v>239</v>
      </c>
      <c r="F20" s="7">
        <v>0</v>
      </c>
      <c r="G20" s="7">
        <v>1</v>
      </c>
      <c r="H20" s="7" t="s">
        <v>226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226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230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226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195</v>
      </c>
      <c r="D23" s="7" t="s">
        <v>30</v>
      </c>
      <c r="E23" s="7" t="s">
        <v>222</v>
      </c>
      <c r="F23" s="7">
        <v>1</v>
      </c>
      <c r="G23" s="7">
        <v>1</v>
      </c>
      <c r="H23" s="7" t="s">
        <v>225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4</v>
      </c>
      <c r="P23" s="7">
        <v>7.4793989999999999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1</v>
      </c>
      <c r="B24" s="7" t="s">
        <v>250</v>
      </c>
      <c r="C24" s="7" t="s">
        <v>195</v>
      </c>
      <c r="D24" s="7" t="s">
        <v>30</v>
      </c>
      <c r="E24" s="7" t="s">
        <v>222</v>
      </c>
      <c r="F24" s="7">
        <v>1</v>
      </c>
      <c r="G24" s="7">
        <v>1</v>
      </c>
      <c r="H24" s="7" t="s">
        <v>225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4</v>
      </c>
      <c r="P24" s="7">
        <f>(6.479399+5.479399)/2</f>
        <v>5.9793989999999999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232</v>
      </c>
      <c r="C25" s="7" t="s">
        <v>195</v>
      </c>
      <c r="D25" s="7" t="s">
        <v>30</v>
      </c>
      <c r="E25" s="7" t="s">
        <v>223</v>
      </c>
      <c r="F25" s="7">
        <v>1</v>
      </c>
      <c r="G25" s="7">
        <v>1</v>
      </c>
      <c r="H25" s="7" t="s">
        <v>225</v>
      </c>
      <c r="I25" s="7">
        <v>0</v>
      </c>
      <c r="J25" s="7">
        <v>0</v>
      </c>
      <c r="K25" s="7">
        <v>-1</v>
      </c>
      <c r="L25" s="7">
        <v>-1</v>
      </c>
      <c r="M25" s="7">
        <v>-1</v>
      </c>
      <c r="N25" s="7">
        <v>1</v>
      </c>
      <c r="O25" s="7">
        <v>5</v>
      </c>
      <c r="P25" s="7">
        <v>4.7911130000000002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>
      <c r="A26" s="22"/>
      <c r="B26" s="7"/>
      <c r="E26" s="7"/>
      <c r="P26" s="7"/>
      <c r="Q26" s="7"/>
      <c r="AY26" s="7"/>
      <c r="AZ26" s="7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</row>
    <row r="31" spans="1:60" s="7" customFormat="1">
      <c r="A31" s="22"/>
      <c r="E31" s="24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</row>
    <row r="44" spans="1:5" s="7" customFormat="1">
      <c r="A44" s="22"/>
      <c r="E44" s="17"/>
    </row>
    <row r="45" spans="1:5" s="7" customFormat="1">
      <c r="A45" s="22"/>
      <c r="E45" s="17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>
      <c r="A52" s="22"/>
    </row>
    <row r="53" spans="1:1" s="7" customFormat="1" ht="14.25" customHeight="1">
      <c r="A53" s="22"/>
    </row>
    <row r="54" spans="1:1" s="7" customFormat="1" ht="16.5" customHeight="1">
      <c r="A54" s="22"/>
    </row>
    <row r="55" spans="1:1" s="7" customFormat="1" ht="17.25" customHeigh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 s="7" customFormat="1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  <row r="91" spans="1:1">
      <c r="A91" s="22"/>
    </row>
  </sheetData>
  <autoFilter ref="A9:BH77" xr:uid="{00000000-0001-0000-0E00-000000000000}"/>
  <sortState xmlns:xlrd2="http://schemas.microsoft.com/office/spreadsheetml/2017/richdata2" ref="A10:BH77">
    <sortCondition ref="B10:B77"/>
  </sortState>
  <mergeCells count="1">
    <mergeCell ref="R6:AE6"/>
  </mergeCells>
  <phoneticPr fontId="34" type="noConversion"/>
  <conditionalFormatting sqref="A78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1">
    <cfRule type="iconSet" priority="9">
      <iconSet>
        <cfvo type="percent" val="0"/>
        <cfvo type="percent" val="33"/>
        <cfvo type="percent" val="67"/>
      </iconSet>
    </cfRule>
  </conditionalFormatting>
  <conditionalFormatting sqref="A13:A77">
    <cfRule type="iconSet" priority="56">
      <iconSet>
        <cfvo type="percent" val="0"/>
        <cfvo type="percent" val="33"/>
        <cfvo type="percent" val="67"/>
      </iconSet>
    </cfRule>
  </conditionalFormatting>
  <conditionalFormatting sqref="A73 A76">
    <cfRule type="iconSet" priority="38">
      <iconSet>
        <cfvo type="percent" val="0"/>
        <cfvo type="percent" val="33"/>
        <cfvo type="percent" val="67"/>
      </iconSet>
    </cfRule>
  </conditionalFormatting>
  <conditionalFormatting sqref="A74 A77">
    <cfRule type="iconSet" priority="32">
      <iconSet>
        <cfvo type="percent" val="0"/>
        <cfvo type="percent" val="33"/>
        <cfvo type="percent" val="67"/>
      </iconSet>
    </cfRule>
  </conditionalFormatting>
  <conditionalFormatting sqref="A73:A77">
    <cfRule type="iconSet" priority="26">
      <iconSet>
        <cfvo type="percent" val="0"/>
        <cfvo type="percent" val="33"/>
        <cfvo type="percent" val="67"/>
      </iconSet>
    </cfRule>
  </conditionalFormatting>
  <conditionalFormatting sqref="A73:A77">
    <cfRule type="iconSet" priority="25">
      <iconSet>
        <cfvo type="percent" val="0"/>
        <cfvo type="percent" val="33"/>
        <cfvo type="percent" val="67"/>
      </iconSet>
    </cfRule>
  </conditionalFormatting>
  <conditionalFormatting sqref="A73:A77">
    <cfRule type="iconSet" priority="24">
      <iconSet>
        <cfvo type="percent" val="0"/>
        <cfvo type="percent" val="33"/>
        <cfvo type="percent" val="67"/>
      </iconSet>
    </cfRule>
  </conditionalFormatting>
  <conditionalFormatting sqref="A73:A77">
    <cfRule type="iconSet" priority="23">
      <iconSet>
        <cfvo type="percent" val="0"/>
        <cfvo type="percent" val="33"/>
        <cfvo type="percent" val="67"/>
      </iconSet>
    </cfRule>
  </conditionalFormatting>
  <conditionalFormatting sqref="A73:A77">
    <cfRule type="iconSet" priority="22">
      <iconSet>
        <cfvo type="percent" val="0"/>
        <cfvo type="percent" val="33"/>
        <cfvo type="percent" val="67"/>
      </iconSet>
    </cfRule>
  </conditionalFormatting>
  <conditionalFormatting sqref="A73:A77">
    <cfRule type="iconSet" priority="27">
      <iconSet>
        <cfvo type="percent" val="0"/>
        <cfvo type="percent" val="33"/>
        <cfvo type="percent" val="67"/>
      </iconSet>
    </cfRule>
  </conditionalFormatting>
  <conditionalFormatting sqref="A13:A77">
    <cfRule type="iconSet" priority="809">
      <iconSet>
        <cfvo type="percent" val="0"/>
        <cfvo type="percent" val="33"/>
        <cfvo type="percent" val="67"/>
      </iconSet>
    </cfRule>
  </conditionalFormatting>
  <conditionalFormatting sqref="A13:A77">
    <cfRule type="iconSet" priority="817">
      <iconSet>
        <cfvo type="percent" val="0"/>
        <cfvo type="percent" val="33"/>
        <cfvo type="percent" val="67"/>
      </iconSet>
    </cfRule>
  </conditionalFormatting>
  <conditionalFormatting sqref="A13:A77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1">
    <cfRule type="iconSet" priority="13">
      <iconSet>
        <cfvo type="percent" val="0"/>
        <cfvo type="percent" val="33"/>
        <cfvo type="percent" val="67"/>
      </iconSet>
    </cfRule>
  </conditionalFormatting>
  <conditionalFormatting sqref="A32">
    <cfRule type="iconSet" priority="12">
      <iconSet>
        <cfvo type="percent" val="0"/>
        <cfvo type="percent" val="33"/>
        <cfvo type="percent" val="67"/>
      </iconSet>
    </cfRule>
  </conditionalFormatting>
  <conditionalFormatting sqref="A10:A77">
    <cfRule type="iconSet" priority="11">
      <iconSet>
        <cfvo type="percent" val="0"/>
        <cfvo type="percent" val="33"/>
        <cfvo type="percent" val="67"/>
      </iconSet>
    </cfRule>
  </conditionalFormatting>
  <conditionalFormatting sqref="A13:A77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5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2022-06-23T03:59:35Z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