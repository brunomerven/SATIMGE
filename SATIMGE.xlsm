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D000E414-845D-4BD5-9CE4-CBA073B08C6B}" xr6:coauthVersionLast="47" xr6:coauthVersionMax="47" xr10:uidLastSave="{00000000-0000-0000-0000-000000000000}"/>
  <bookViews>
    <workbookView xWindow="0" yWindow="255" windowWidth="28800" windowHeight="15345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Scenarios!$A$7:$BF$27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268" r:id="rId9"/>
    <pivotCache cacheId="273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4" i="33" l="1"/>
  <c r="Q14" i="33"/>
  <c r="O14" i="33"/>
  <c r="N14" i="33"/>
  <c r="M14" i="33"/>
  <c r="L14" i="33"/>
  <c r="K14" i="33"/>
  <c r="AY13" i="33"/>
  <c r="Q13" i="33"/>
  <c r="O13" i="33"/>
  <c r="N13" i="33"/>
  <c r="M13" i="33"/>
  <c r="L13" i="33"/>
  <c r="K13" i="33"/>
  <c r="AY12" i="33"/>
  <c r="Q12" i="33"/>
  <c r="O12" i="33"/>
  <c r="N12" i="33"/>
  <c r="M12" i="33"/>
  <c r="L12" i="33"/>
  <c r="K12" i="33"/>
  <c r="AY11" i="33"/>
  <c r="Q11" i="33"/>
  <c r="O11" i="33"/>
  <c r="N11" i="33"/>
  <c r="M11" i="33"/>
  <c r="L11" i="33"/>
  <c r="K11" i="33"/>
  <c r="AY20" i="33" l="1"/>
  <c r="Q20" i="33"/>
  <c r="O20" i="33"/>
  <c r="N20" i="33"/>
  <c r="M20" i="33"/>
  <c r="L20" i="33"/>
  <c r="K20" i="33"/>
  <c r="AY19" i="33"/>
  <c r="Q19" i="33"/>
  <c r="O19" i="33"/>
  <c r="N19" i="33"/>
  <c r="M19" i="33"/>
  <c r="L19" i="33"/>
  <c r="K19" i="33"/>
  <c r="AY26" i="33"/>
  <c r="Q26" i="33"/>
  <c r="O26" i="33"/>
  <c r="N26" i="33"/>
  <c r="M26" i="33"/>
  <c r="L26" i="33"/>
  <c r="K26" i="33"/>
  <c r="AY25" i="33"/>
  <c r="Q25" i="33"/>
  <c r="O25" i="33"/>
  <c r="N25" i="33"/>
  <c r="M25" i="33"/>
  <c r="L25" i="33"/>
  <c r="K25" i="33"/>
  <c r="AY18" i="33" l="1"/>
  <c r="Q18" i="33"/>
  <c r="O18" i="33"/>
  <c r="N18" i="33"/>
  <c r="M18" i="33"/>
  <c r="L18" i="33"/>
  <c r="K18" i="33"/>
  <c r="AY17" i="33"/>
  <c r="Q17" i="33"/>
  <c r="O17" i="33"/>
  <c r="N17" i="33"/>
  <c r="M17" i="33"/>
  <c r="L17" i="33"/>
  <c r="K17" i="33"/>
  <c r="AY24" i="33"/>
  <c r="Q24" i="33"/>
  <c r="O24" i="33"/>
  <c r="N24" i="33"/>
  <c r="M24" i="33"/>
  <c r="L24" i="33"/>
  <c r="K24" i="33"/>
  <c r="AY23" i="33"/>
  <c r="Q23" i="33"/>
  <c r="O23" i="33"/>
  <c r="N23" i="33"/>
  <c r="M23" i="33"/>
  <c r="L23" i="33"/>
  <c r="K23" i="33"/>
  <c r="AY22" i="33"/>
  <c r="Q22" i="33"/>
  <c r="O22" i="33"/>
  <c r="N22" i="33"/>
  <c r="M22" i="33"/>
  <c r="L22" i="33"/>
  <c r="K22" i="33"/>
  <c r="AY21" i="33"/>
  <c r="Q21" i="33"/>
  <c r="O21" i="33"/>
  <c r="N21" i="33"/>
  <c r="M21" i="33"/>
  <c r="L21" i="33"/>
  <c r="K21" i="33"/>
  <c r="AY16" i="33"/>
  <c r="Q16" i="33"/>
  <c r="O16" i="33"/>
  <c r="N16" i="33"/>
  <c r="M16" i="33"/>
  <c r="L16" i="33"/>
  <c r="K16" i="33"/>
  <c r="AY15" i="33"/>
  <c r="Q15" i="33"/>
  <c r="O15" i="33"/>
  <c r="N15" i="33"/>
  <c r="M15" i="33"/>
  <c r="L15" i="33"/>
  <c r="K15" i="33"/>
  <c r="AY9" i="33"/>
  <c r="Q9" i="33"/>
  <c r="O9" i="33"/>
  <c r="N9" i="33"/>
  <c r="M9" i="33"/>
  <c r="L9" i="33"/>
  <c r="K9" i="33"/>
  <c r="AY10" i="33" l="1"/>
  <c r="AY27" i="33"/>
  <c r="AY8" i="33"/>
  <c r="A6" i="33" l="1"/>
  <c r="Q10" i="33" l="1"/>
  <c r="O10" i="33"/>
  <c r="N10" i="33"/>
  <c r="M10" i="33"/>
  <c r="L10" i="33"/>
  <c r="K10" i="33"/>
  <c r="C21" i="4" l="1"/>
  <c r="C15" i="4"/>
  <c r="C14" i="4"/>
  <c r="B1" i="33" a="1"/>
  <c r="B1" i="33" s="1"/>
  <c r="H8" i="33"/>
  <c r="M8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AY6" i="33" l="1"/>
  <c r="B6" i="33" s="1"/>
  <c r="K8" i="33"/>
  <c r="N8" i="33"/>
  <c r="O8" i="33"/>
  <c r="L8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tc={8BBE1FFC-2FD4-4F7B-8748-DD3A09817AC0}</author>
    <author>tc={B52CCB72-6685-4492-8C79-DF3E9FFF6F64}</author>
    <author>tc={7D96D53B-9120-461B-AD55-4A1A9B2FA010}</author>
    <author>tc={F7A6309E-47C5-4215-AF1D-E1CADE616AE1}</author>
    <author>tc={25B8C135-0142-4D67-857B-4D1E352686CD}</author>
    <author>tc={804AD62C-96F4-4D38-8DE0-DD3B71972325}</author>
    <author>tc={C554E512-E203-4DD4-9C00-323DB78A9184}</author>
    <author>tc={436E1344-8852-40F4-B9F0-441B833C458D}</author>
    <author>tc={1F4D338C-2FDC-4811-9F7B-437035031B21}</author>
    <author>tc={05EA5EFB-A0A7-4F58-B5AB-DA2A85B46885}</author>
    <author>tc={A8FD46F7-2509-4D9D-87F3-965331A68EB0}</author>
    <author>tc={C516673F-DAB6-4A8A-8E8A-D37418B9F054}</author>
    <author>tc={458F5881-2CEA-40DE-A6A7-34ED9A9DF34F}</author>
    <author>tc={3A5B42A3-A069-43E9-B276-A45F45367255}</author>
    <author>tc={36D0A571-47BF-41CA-A9F1-FFC662D15AD9}</author>
    <author>tc={EC804FF9-4C91-4196-BB9D-A984487A71E8}</author>
    <author>tc={D5D2B270-55A6-435D-8F6C-F6F570272A4E}</author>
    <author>tc={7AE145BC-18BF-43F2-8EB7-8E070D5A01DC}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8BBE1FFC-2FD4-4F7B-8748-DD3A09817A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0" authorId="2" shapeId="0" xr:uid="{B52CCB72-6685-4492-8C79-DF3E9FFF6F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3" shapeId="0" xr:uid="{7D96D53B-9120-461B-AD55-4A1A9B2FA0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4" shapeId="0" xr:uid="{F7A6309E-47C5-4215-AF1D-E1CADE616AE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" authorId="5" shapeId="0" xr:uid="{25B8C135-0142-4D67-857B-4D1E352686C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" authorId="6" shapeId="0" xr:uid="{804AD62C-96F4-4D38-8DE0-DD3B7197232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7" shapeId="0" xr:uid="{C554E512-E203-4DD4-9C00-323DB78A918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8" shapeId="0" xr:uid="{436E1344-8852-40F4-B9F0-441B833C458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9" shapeId="0" xr:uid="{1F4D338C-2FDC-4811-9F7B-437035031B2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10" shapeId="0" xr:uid="{05EA5EFB-A0A7-4F58-B5AB-DA2A85B468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1" shapeId="0" xr:uid="{A8FD46F7-2509-4D9D-87F3-965331A68EB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2" shapeId="0" xr:uid="{C516673F-DAB6-4A8A-8E8A-D37418B9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3" shapeId="0" xr:uid="{458F5881-2CEA-40DE-A6A7-34ED9A9DF34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4" shapeId="0" xr:uid="{3A5B42A3-A069-43E9-B276-A45F4536725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5" shapeId="0" xr:uid="{36D0A571-47BF-41CA-A9F1-FFC662D15AD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6" shapeId="0" xr:uid="{EC804FF9-4C91-4196-BB9D-A984487A71E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7" shapeId="0" xr:uid="{D5D2B270-55A6-435D-8F6C-F6F570272A4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8" shapeId="0" xr:uid="{7AE145BC-18BF-43F2-8EB7-8E070D5A01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<sst xmlns="http://schemas.openxmlformats.org/spreadsheetml/2006/main" count="630" uniqueCount="247">
  <si>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</si>
  <si>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</si>
  <si>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</si>
  <si>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</si>
  <si>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</si>
  <si>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</si>
  <si>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</si>
  <si>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</si>
  <si>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</si>
  <si>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</si>
  <si>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</si>
  <si>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</si>
  <si>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</si>
  <si>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</si>
  <si>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</si>
  <si>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</si>
  <si>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</si>
  <si>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</si>
  <si>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</si>
  <si>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</si>
  <si>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</si>
  <si>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</si>
  <si>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</si>
  <si>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</si>
  <si>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</si>
  <si>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</si>
  <si>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</si>
  <si>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</si>
  <si>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</si>
  <si>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</si>
  <si>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</si>
  <si>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</si>
  <si>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</si>
  <si>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</si>
  <si>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</si>
  <si>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</si>
  <si>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</si>
  <si>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</si>
  <si>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</si>
  <si>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</si>
  <si>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</si>
  <si>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</si>
  <si>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</si>
  <si>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</si>
  <si>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</si>
  <si>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</si>
  <si>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</si>
  <si>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</si>
  <si>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</si>
  <si>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</si>
  <si>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</si>
  <si>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</si>
  <si>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</si>
  <si>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</si>
  <si>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</si>
  <si>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</si>
  <si>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</si>
  <si>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</si>
  <si>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</si>
  <si>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</si>
  <si>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</si>
  <si>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</si>
  <si>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</si>
  <si>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</si>
  <si>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</si>
  <si>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</si>
  <si>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</si>
  <si>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</si>
  <si>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</si>
  <si>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</si>
  <si>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</si>
  <si>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</si>
  <si>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</si>
  <si>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</si>
  <si>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</si>
  <si>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</si>
  <si>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</si>
  <si>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</si>
  <si>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</si>
  <si>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</si>
  <si>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</si>
  <si>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</si>
  <si>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</si>
  <si>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</si>
  <si>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</si>
  <si>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</si>
  <si>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</si>
  <si>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</si>
  <si>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</si>
  <si>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</si>
  <si>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</si>
  <si>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</si>
  <si>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</si>
  <si>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</si>
  <si>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</si>
  <si>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</si>
  <si>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</si>
  <si>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</si>
  <si>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</si>
  <si>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</si>
  <si>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</si>
  <si>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</si>
  <si>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</si>
  <si>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</si>
  <si>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</si>
  <si>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</si>
  <si>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</si>
  <si>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</si>
  <si>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</si>
  <si>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</si>
  <si>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</si>
  <si>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</si>
  <si>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</si>
  <si>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</si>
  <si>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</si>
  <si>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</si>
  <si>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</si>
  <si>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</si>
  <si>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</si>
  <si>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</si>
  <si>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</si>
  <si>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</si>
  <si>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</si>
  <si>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</si>
  <si>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</si>
  <si>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</si>
  <si>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</si>
  <si>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</si>
  <si>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</si>
  <si>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</si>
  <si>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</si>
  <si>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</si>
  <si>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</si>
  <si>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</si>
  <si>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</si>
  <si>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</si>
  <si>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</si>
  <si>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</si>
  <si>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</si>
  <si>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</si>
  <si>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</si>
  <si>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</si>
  <si>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</si>
  <si>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</si>
  <si>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</si>
  <si>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</si>
  <si>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</si>
  <si>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</si>
  <si>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</si>
  <si>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</si>
  <si>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</si>
  <si>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</si>
  <si>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</si>
  <si>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</si>
  <si>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</si>
  <si>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</si>
  <si>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</si>
  <si>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</si>
  <si>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</si>
  <si>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</si>
  <si>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</si>
  <si>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</si>
  <si>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</si>
  <si>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</si>
  <si>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</si>
  <si>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</si>
  <si>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</si>
  <si>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</si>
  <si>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</si>
  <si>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</si>
  <si>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</si>
  <si>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</si>
  <si>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</si>
  <si>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</si>
  <si>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</si>
  <si>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</si>
  <si>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</si>
  <si>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</si>
  <si>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</si>
  <si>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</si>
  <si>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</si>
  <si>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</si>
  <si>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</si>
  <si>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</si>
  <si>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</si>
  <si>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</si>
  <si>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</si>
  <si>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</si>
  <si>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</si>
  <si>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</si>
  <si>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</si>
  <si>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</si>
  <si>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</si>
  <si>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</si>
  <si>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</si>
  <si>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</si>
  <si>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</si>
  <si>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</si>
  <si>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</si>
  <si>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</si>
  <si>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</si>
  <si>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</si>
  <si>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</si>
  <si>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</si>
  <si>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NOPAMSCAP</t>
  </si>
  <si>
    <t>CO2 Cumulative Cap (SIM_CO2CUMUL)</t>
  </si>
  <si>
    <t>Sum of CO2 CumCap</t>
  </si>
  <si>
    <t>SIM_CO2CUMUL</t>
  </si>
  <si>
    <t>CPAMSCAP</t>
  </si>
  <si>
    <t>Project Tags</t>
  </si>
  <si>
    <t>NDC</t>
  </si>
  <si>
    <t>IFPRI #6</t>
  </si>
  <si>
    <t>Nuclear NERSA</t>
  </si>
  <si>
    <t>Coal IPP</t>
  </si>
  <si>
    <t>NetZero</t>
  </si>
  <si>
    <t>P4C</t>
  </si>
  <si>
    <t>SAREM</t>
  </si>
  <si>
    <t>included runs</t>
  </si>
  <si>
    <t>Name Check</t>
  </si>
  <si>
    <t>NOPAMCAPIRPL</t>
  </si>
  <si>
    <t>NoPams</t>
  </si>
  <si>
    <t>Reference</t>
  </si>
  <si>
    <t>ForcedCoal</t>
  </si>
  <si>
    <t>NOPAMSCAPFC</t>
  </si>
  <si>
    <t>Reference-L</t>
  </si>
  <si>
    <t>ForcedCoal-L</t>
  </si>
  <si>
    <t>ForcedCoal350</t>
  </si>
  <si>
    <t>Reference350</t>
  </si>
  <si>
    <t>ReferencePAMS350</t>
  </si>
  <si>
    <t>ForcedCoalPAMS350</t>
  </si>
  <si>
    <t>CPAMSCAPFC</t>
  </si>
  <si>
    <t>ReferenceIRP</t>
  </si>
  <si>
    <t>ForcedCoalIRP</t>
  </si>
  <si>
    <t>NOPAMCAPIRPF</t>
  </si>
  <si>
    <t>Eskom</t>
  </si>
  <si>
    <t>ReferenceIRPNER</t>
  </si>
  <si>
    <t>ForcedCoalIRPNER</t>
  </si>
  <si>
    <t>ReferencePAMS350NER</t>
  </si>
  <si>
    <t>ForcedCoalPAMS350NER</t>
  </si>
  <si>
    <t>Reference-HiExt</t>
  </si>
  <si>
    <t>ForcedCoal-HiExt</t>
  </si>
  <si>
    <t>Reference-OptRE</t>
  </si>
  <si>
    <t>ForcedCoal-OptRE</t>
  </si>
  <si>
    <t>NOPAMSCAPHE</t>
  </si>
  <si>
    <t>NOPAMSCAPFCH</t>
  </si>
  <si>
    <t>NOPAMSCAPOC</t>
  </si>
  <si>
    <t>NOPAMSCAPFCO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</si>
</sst>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40.475199189816" createdVersion="6" refreshedVersion="7" minRefreshableVersion="3" recordCount="35" xr:uid="{D229C3DF-142A-4D15-BB2C-2EA205AB0203}">
  <cacheSource type="worksheet">
    <worksheetSource ref="A7:P76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1">
        <s v="NoPams"/>
        <s v="Reference"/>
        <s v="ForcedCoal"/>
        <s v="Reference-HiExt"/>
        <s v="ForcedCoal-HiExt"/>
        <s v="Reference-OptRE"/>
        <s v="ForcedCoal-OptRE"/>
        <s v="Reference-L"/>
        <s v="ForcedCoal-L"/>
        <s v="ReferenceIRP"/>
        <s v="ForcedCoalIRP"/>
        <s v="ReferenceIRPNER"/>
        <s v="ForcedCoalIRPNER"/>
        <s v="Reference350"/>
        <s v="ForcedCoal350"/>
        <s v="ReferencePAMS350"/>
        <s v="ForcedCoalPAMS350"/>
        <s v="ReferencePAMS350NER"/>
        <s v="ForcedCoalPAMS350NE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-1" maxValue="1"/>
    </cacheField>
    <cacheField name="CO2 CumCap" numFmtId="0">
      <sharedItems containsString="0" containsBlank="1" containsNumber="1" containsInteger="1" minValue="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440.475199421293" createdVersion="6" refreshedVersion="7" minRefreshableVersion="3" recordCount="35" xr:uid="{C0EB43E8-6CC6-4DE4-B7F1-02B09F7BA69A}">
  <cacheSource type="worksheet">
    <worksheetSource ref="A7:P75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21">
        <s v="NoPams"/>
        <s v="Reference"/>
        <s v="ForcedCoal"/>
        <s v="Reference-HiExt"/>
        <s v="ForcedCoal-HiExt"/>
        <s v="Reference-OptRE"/>
        <s v="ForcedCoal-OptRE"/>
        <s v="Reference-L"/>
        <s v="ForcedCoal-L"/>
        <s v="ReferenceIRP"/>
        <s v="ForcedCoalIRP"/>
        <s v="ReferenceIRPNER"/>
        <s v="ForcedCoalIRPNER"/>
        <s v="Reference350"/>
        <s v="ForcedCoal350"/>
        <s v="ReferencePAMS350"/>
        <s v="ForcedCoalPAMS350"/>
        <s v="ReferencePAMS350NER"/>
        <s v="ForcedCoalPAMS350NE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89">
        <s v="NOPAMSCAP"/>
        <s v="NOPAMSCAPFC"/>
        <s v="NOPAMSCAPHE"/>
        <s v="NOPAMSCAPFCH"/>
        <s v="NOPAMSCAPOC"/>
        <s v="NOPAMSCAPFCO"/>
        <s v="NOPAMCAPIRPL"/>
        <s v="NOPAMCAPIRPF"/>
        <s v="CPAMSCAP"/>
        <s v="CPAMSCAPFC"/>
        <m/>
        <s v="LPAMSFC" u="1"/>
        <s v="CPAMSREPROGHG" u="1"/>
        <s v="NOPAMSFGDA" u="1"/>
        <s v="CO2ACAP350" u="1"/>
        <s v="NOPAMS_LEAF" u="1"/>
        <s v="NZ-REF-01P" u="1"/>
        <s v="NOPAMSFCHG" u="1"/>
        <s v="IRPRE" u="1"/>
        <s v="CPAMSRE_LEAF" u="1"/>
        <s v="NZ-REF-10P" u="1"/>
        <s v="CPAMSNOIRP" u="1"/>
        <s v="LPAMS" u="1"/>
        <s v="EECAP" u="1"/>
        <s v="CPAMSREPROGTG" u="1"/>
        <s v="CPAMSRETG" u="1"/>
        <s v="IRPRE-01P" u="1"/>
        <s v="CO2ACAP280" u="1"/>
        <s v="NOPAMSFGDAIL" u="1"/>
        <s v="NOPAMS_NDP" u="1"/>
        <s v="CPAMSREPROG" u="1"/>
        <s v="NZ-CO2S2050" u="1"/>
        <s v="NZ-REF" u="1"/>
        <s v="NOPAMSFC" u="1"/>
        <s v="NOPAMSFCTG" u="1"/>
        <s v="NZ-REF-FC" u="1"/>
        <s v="RUNCOAL" u="1"/>
        <s v="CPAMSIRP" u="1"/>
        <s v="CPAMSIRPTG" u="1"/>
        <s v="NZ-REF-50P" u="1"/>
        <s v="NOPAMSCAP10" u="1"/>
        <s v="NOPAMS_T" u="1"/>
        <s v="NZ-REF-25P" u="1"/>
        <s v="NOPAMSRE_LE" u="1"/>
        <s v="IRP-25P" u="1"/>
        <s v="HPAMSREPROG" u="1"/>
        <s v="NOPAMCAPIRPN" u="1"/>
        <s v="HPAMSIRP" u="1"/>
        <s v="IRPRE-05P" u="1"/>
        <s v="LPAMSMRE" u="1"/>
        <s v="LPAMSMRETG" u="1"/>
        <s v="CPAMSCAPIRP" u="1"/>
        <s v="NOPAMS_EXP2" u="1"/>
        <s v="CPAMSMRE_LEAF" u="1"/>
        <s v="RUNZERO" u="1"/>
        <s v="IRPRE-10P" u="1"/>
        <s v="NOPAMSLOP" u="1"/>
        <s v="CPAMSNOIRPLE" u="1"/>
        <s v="CPAMSCAPIRPL" u="1"/>
        <s v="NOPAMS" u="1"/>
        <s v="NZ-REF-OC" u="1"/>
        <s v="IRPRE-25P" u="1"/>
        <s v="NZ-REF-FCOC" u="1"/>
        <s v="NOPAMSFGDB1" u="1"/>
        <s v="NOPAMS_EXP3" u="1"/>
        <s v="CPAMS_NDP" u="1"/>
        <s v="NOPAMSCAPIRP" u="1"/>
        <s v="CPAMSMRE" u="1"/>
        <s v="CPAMSMRETG" u="1"/>
        <s v="NOPAMSFGDC1" u="1"/>
        <s v="LPAMSMREP" u="1"/>
        <s v="NOPAMSFGDB2" u="1"/>
        <s v="NOPAMS_EXP4" u="1"/>
        <s v="CPAMSCP" u="1"/>
        <s v="IRPRE-50P" u="1"/>
        <s v="CPAMSMRELEAF" u="1"/>
        <s v="CPAMSRE" u="1"/>
        <s v="NOPAMSIRP" u="1"/>
        <s v="CPAMSCAPIRPN" u="1"/>
        <s v="NZ-REF-05P" u="1"/>
        <s v="CPAMSREPROTG" u="1"/>
        <s v="NOPAMSFGDC2" u="1"/>
        <s v="NOPAMSMRE_LE" u="1"/>
        <s v="NOPAMSFGDB3" u="1"/>
        <s v="NOPAMS_EXP" u="1"/>
        <s v="NOPAMS_NF" u="1"/>
        <s v="CPAMS_LEAF" u="1"/>
        <s v="NOPAMSFGDC3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2"/>
    </cacheField>
    <cacheField name="PAMS_AFOLU" numFmtId="0">
      <sharedItems containsString="0" containsBlank="1" containsNumber="1" containsInteger="1" minValue="-1" maxValue="1"/>
    </cacheField>
    <cacheField name="CO2 CumCap" numFmtId="0">
      <sharedItems containsString="0" containsBlank="1" containsNumber="1" containsInteger="1" minValue="7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n v="0"/>
    <x v="0"/>
    <s v="yes tested"/>
    <s v="base"/>
    <s v="NOPAMSCAP"/>
    <n v="1"/>
    <n v="1"/>
    <s v="No Pams"/>
    <n v="1"/>
    <n v="1"/>
    <n v="-1"/>
    <n v="-1"/>
    <n v="-1"/>
    <n v="1"/>
    <n v="-1"/>
    <n v="100"/>
  </r>
  <r>
    <n v="1"/>
    <x v="1"/>
    <s v="yes tested"/>
    <s v="base"/>
    <s v="NOPAMSCAP"/>
    <n v="0"/>
    <n v="0"/>
    <s v="No Pams"/>
    <n v="1"/>
    <n v="1"/>
    <n v="-1"/>
    <n v="-1"/>
    <n v="-1"/>
    <n v="1"/>
    <n v="-1"/>
    <n v="99"/>
  </r>
  <r>
    <n v="1"/>
    <x v="2"/>
    <s v="yes tested"/>
    <s v="base"/>
    <s v="NOPAMSCAPFC"/>
    <n v="0"/>
    <n v="0"/>
    <s v="No Pams"/>
    <n v="1"/>
    <n v="1"/>
    <n v="-1"/>
    <n v="-1"/>
    <n v="-1"/>
    <n v="1"/>
    <n v="-1"/>
    <n v="99"/>
  </r>
  <r>
    <n v="1"/>
    <x v="3"/>
    <s v="yes tested"/>
    <s v="base"/>
    <s v="NOPAMSCAPHE"/>
    <n v="0"/>
    <n v="0"/>
    <s v="No Pams"/>
    <n v="1"/>
    <n v="1"/>
    <n v="-1"/>
    <n v="-1"/>
    <n v="-1"/>
    <n v="1"/>
    <n v="-1"/>
    <n v="99"/>
  </r>
  <r>
    <n v="1"/>
    <x v="4"/>
    <s v="yes tested"/>
    <s v="base"/>
    <s v="NOPAMSCAPFCH"/>
    <n v="1"/>
    <n v="0"/>
    <s v="No Pams"/>
    <n v="1"/>
    <n v="1"/>
    <n v="-1"/>
    <n v="-1"/>
    <n v="-1"/>
    <n v="1"/>
    <n v="-1"/>
    <n v="99"/>
  </r>
  <r>
    <n v="1"/>
    <x v="5"/>
    <s v="yes tested"/>
    <s v="base"/>
    <s v="NOPAMSCAPOC"/>
    <n v="0"/>
    <n v="0"/>
    <s v="No Pams"/>
    <n v="1"/>
    <n v="1"/>
    <n v="-1"/>
    <n v="-1"/>
    <n v="-1"/>
    <n v="1"/>
    <n v="-1"/>
    <n v="99"/>
  </r>
  <r>
    <n v="1"/>
    <x v="6"/>
    <s v="yes tested"/>
    <s v="base"/>
    <s v="NOPAMSCAPFCO"/>
    <n v="1"/>
    <n v="0"/>
    <s v="No Pams"/>
    <n v="1"/>
    <n v="1"/>
    <n v="-1"/>
    <n v="-1"/>
    <n v="-1"/>
    <n v="1"/>
    <n v="-1"/>
    <n v="99"/>
  </r>
  <r>
    <n v="1"/>
    <x v="7"/>
    <s v="yes tested"/>
    <s v="base"/>
    <s v="NOPAMSCAP"/>
    <n v="1"/>
    <n v="1"/>
    <s v="No Pams"/>
    <n v="1"/>
    <n v="1"/>
    <n v="-1"/>
    <n v="-1"/>
    <n v="-1"/>
    <n v="1"/>
    <n v="-1"/>
    <n v="99"/>
  </r>
  <r>
    <n v="1"/>
    <x v="8"/>
    <s v="yes tested"/>
    <s v="base"/>
    <s v="NOPAMSCAPFC"/>
    <n v="1"/>
    <n v="1"/>
    <s v="No Pams"/>
    <n v="1"/>
    <n v="1"/>
    <n v="-1"/>
    <n v="-1"/>
    <n v="-1"/>
    <n v="1"/>
    <n v="-1"/>
    <n v="99"/>
  </r>
  <r>
    <n v="0"/>
    <x v="9"/>
    <s v="yes tested"/>
    <s v="base"/>
    <s v="NOPAMCAPIRPL"/>
    <n v="0"/>
    <n v="0"/>
    <s v="No Pams"/>
    <n v="1"/>
    <n v="1"/>
    <n v="-1"/>
    <n v="-1"/>
    <n v="-1"/>
    <n v="1"/>
    <n v="-1"/>
    <n v="99"/>
  </r>
  <r>
    <n v="0"/>
    <x v="10"/>
    <s v="yes tested"/>
    <s v="base"/>
    <s v="NOPAMCAPIRPF"/>
    <n v="0"/>
    <n v="0"/>
    <s v="No Pams"/>
    <n v="1"/>
    <n v="1"/>
    <n v="-1"/>
    <n v="-1"/>
    <n v="-1"/>
    <n v="1"/>
    <n v="-1"/>
    <n v="99"/>
  </r>
  <r>
    <n v="0"/>
    <x v="11"/>
    <s v="yes tested"/>
    <s v="base"/>
    <s v="NOPAMCAPIRPL"/>
    <n v="1"/>
    <n v="0"/>
    <s v="No Pams"/>
    <n v="1"/>
    <n v="1"/>
    <n v="-1"/>
    <n v="-1"/>
    <n v="-1"/>
    <n v="1"/>
    <n v="-1"/>
    <n v="99"/>
  </r>
  <r>
    <n v="0"/>
    <x v="12"/>
    <s v="yes tested"/>
    <s v="base"/>
    <s v="NOPAMCAPIRPF"/>
    <n v="0"/>
    <n v="0"/>
    <s v="No Pams"/>
    <n v="1"/>
    <n v="1"/>
    <n v="-1"/>
    <n v="-1"/>
    <n v="-1"/>
    <n v="1"/>
    <n v="-1"/>
    <n v="99"/>
  </r>
  <r>
    <n v="0"/>
    <x v="13"/>
    <s v="yes tested"/>
    <s v="base"/>
    <s v="NOPAMSCAP"/>
    <n v="1"/>
    <n v="0"/>
    <s v="No Pams"/>
    <n v="1"/>
    <n v="1"/>
    <n v="-1"/>
    <n v="-1"/>
    <n v="-1"/>
    <n v="1"/>
    <n v="-1"/>
    <n v="7"/>
  </r>
  <r>
    <n v="0"/>
    <x v="14"/>
    <s v="yes tested"/>
    <s v="base"/>
    <s v="NOPAMSCAPFC"/>
    <n v="1"/>
    <n v="0"/>
    <s v="No Pams"/>
    <n v="1"/>
    <n v="1"/>
    <n v="-1"/>
    <n v="-1"/>
    <n v="-1"/>
    <n v="1"/>
    <n v="-1"/>
    <n v="7"/>
  </r>
  <r>
    <n v="1"/>
    <x v="15"/>
    <s v="yes tested"/>
    <s v="base"/>
    <s v="CPAMSCAP"/>
    <n v="1"/>
    <n v="0"/>
    <s v="Base Pams"/>
    <n v="1"/>
    <n v="1"/>
    <n v="2"/>
    <n v="2"/>
    <n v="1"/>
    <n v="2"/>
    <n v="1"/>
    <n v="7"/>
  </r>
  <r>
    <n v="1"/>
    <x v="16"/>
    <s v="yes tested"/>
    <s v="base"/>
    <s v="CPAMSCAPFC"/>
    <n v="1"/>
    <n v="0"/>
    <s v="Base Pams"/>
    <n v="1"/>
    <n v="1"/>
    <n v="2"/>
    <n v="2"/>
    <n v="1"/>
    <n v="2"/>
    <n v="1"/>
    <n v="7"/>
  </r>
  <r>
    <n v="0"/>
    <x v="17"/>
    <s v="yes tested"/>
    <s v="base"/>
    <s v="CPAMSCAP"/>
    <n v="1"/>
    <n v="0"/>
    <s v="No Pams"/>
    <n v="1"/>
    <n v="1"/>
    <n v="-1"/>
    <n v="-1"/>
    <n v="-1"/>
    <n v="1"/>
    <n v="-1"/>
    <n v="7"/>
  </r>
  <r>
    <n v="0"/>
    <x v="18"/>
    <s v="yes tested"/>
    <s v="base"/>
    <s v="CPAMSCAPFC"/>
    <n v="1"/>
    <n v="0"/>
    <s v="No Pams"/>
    <n v="1"/>
    <n v="1"/>
    <n v="-1"/>
    <n v="-1"/>
    <n v="-1"/>
    <n v="1"/>
    <n v="-1"/>
    <n v="7"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  <r>
    <m/>
    <x v="19"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n v="0"/>
    <x v="0"/>
    <s v="yes tested"/>
    <x v="0"/>
    <x v="0"/>
    <n v="1"/>
    <n v="1"/>
    <s v="No Pams"/>
    <n v="1"/>
    <n v="1"/>
    <n v="-1"/>
    <n v="-1"/>
    <n v="-1"/>
    <n v="1"/>
    <n v="-1"/>
    <n v="100"/>
  </r>
  <r>
    <n v="1"/>
    <x v="1"/>
    <s v="yes tested"/>
    <x v="0"/>
    <x v="0"/>
    <n v="0"/>
    <n v="0"/>
    <s v="No Pams"/>
    <n v="1"/>
    <n v="1"/>
    <n v="-1"/>
    <n v="-1"/>
    <n v="-1"/>
    <n v="1"/>
    <n v="-1"/>
    <n v="99"/>
  </r>
  <r>
    <n v="1"/>
    <x v="2"/>
    <s v="yes tested"/>
    <x v="0"/>
    <x v="1"/>
    <n v="0"/>
    <n v="0"/>
    <s v="No Pams"/>
    <n v="1"/>
    <n v="1"/>
    <n v="-1"/>
    <n v="-1"/>
    <n v="-1"/>
    <n v="1"/>
    <n v="-1"/>
    <n v="99"/>
  </r>
  <r>
    <n v="1"/>
    <x v="3"/>
    <s v="yes tested"/>
    <x v="0"/>
    <x v="2"/>
    <n v="0"/>
    <n v="0"/>
    <s v="No Pams"/>
    <n v="1"/>
    <n v="1"/>
    <n v="-1"/>
    <n v="-1"/>
    <n v="-1"/>
    <n v="1"/>
    <n v="-1"/>
    <n v="99"/>
  </r>
  <r>
    <n v="1"/>
    <x v="4"/>
    <s v="yes tested"/>
    <x v="0"/>
    <x v="3"/>
    <n v="1"/>
    <n v="0"/>
    <s v="No Pams"/>
    <n v="1"/>
    <n v="1"/>
    <n v="-1"/>
    <n v="-1"/>
    <n v="-1"/>
    <n v="1"/>
    <n v="-1"/>
    <n v="99"/>
  </r>
  <r>
    <n v="1"/>
    <x v="5"/>
    <s v="yes tested"/>
    <x v="0"/>
    <x v="4"/>
    <n v="0"/>
    <n v="0"/>
    <s v="No Pams"/>
    <n v="1"/>
    <n v="1"/>
    <n v="-1"/>
    <n v="-1"/>
    <n v="-1"/>
    <n v="1"/>
    <n v="-1"/>
    <n v="99"/>
  </r>
  <r>
    <n v="1"/>
    <x v="6"/>
    <s v="yes tested"/>
    <x v="0"/>
    <x v="5"/>
    <n v="1"/>
    <n v="0"/>
    <s v="No Pams"/>
    <n v="1"/>
    <n v="1"/>
    <n v="-1"/>
    <n v="-1"/>
    <n v="-1"/>
    <n v="1"/>
    <n v="-1"/>
    <n v="99"/>
  </r>
  <r>
    <n v="1"/>
    <x v="7"/>
    <s v="yes tested"/>
    <x v="0"/>
    <x v="0"/>
    <n v="1"/>
    <n v="1"/>
    <s v="No Pams"/>
    <n v="1"/>
    <n v="1"/>
    <n v="-1"/>
    <n v="-1"/>
    <n v="-1"/>
    <n v="1"/>
    <n v="-1"/>
    <n v="99"/>
  </r>
  <r>
    <n v="1"/>
    <x v="8"/>
    <s v="yes tested"/>
    <x v="0"/>
    <x v="1"/>
    <n v="1"/>
    <n v="1"/>
    <s v="No Pams"/>
    <n v="1"/>
    <n v="1"/>
    <n v="-1"/>
    <n v="-1"/>
    <n v="-1"/>
    <n v="1"/>
    <n v="-1"/>
    <n v="99"/>
  </r>
  <r>
    <n v="0"/>
    <x v="9"/>
    <s v="yes tested"/>
    <x v="0"/>
    <x v="6"/>
    <n v="0"/>
    <n v="0"/>
    <s v="No Pams"/>
    <n v="1"/>
    <n v="1"/>
    <n v="-1"/>
    <n v="-1"/>
    <n v="-1"/>
    <n v="1"/>
    <n v="-1"/>
    <n v="99"/>
  </r>
  <r>
    <n v="0"/>
    <x v="10"/>
    <s v="yes tested"/>
    <x v="0"/>
    <x v="7"/>
    <n v="0"/>
    <n v="0"/>
    <s v="No Pams"/>
    <n v="1"/>
    <n v="1"/>
    <n v="-1"/>
    <n v="-1"/>
    <n v="-1"/>
    <n v="1"/>
    <n v="-1"/>
    <n v="99"/>
  </r>
  <r>
    <n v="0"/>
    <x v="11"/>
    <s v="yes tested"/>
    <x v="0"/>
    <x v="6"/>
    <n v="1"/>
    <n v="0"/>
    <s v="No Pams"/>
    <n v="1"/>
    <n v="1"/>
    <n v="-1"/>
    <n v="-1"/>
    <n v="-1"/>
    <n v="1"/>
    <n v="-1"/>
    <n v="99"/>
  </r>
  <r>
    <n v="0"/>
    <x v="12"/>
    <s v="yes tested"/>
    <x v="0"/>
    <x v="7"/>
    <n v="0"/>
    <n v="0"/>
    <s v="No Pams"/>
    <n v="1"/>
    <n v="1"/>
    <n v="-1"/>
    <n v="-1"/>
    <n v="-1"/>
    <n v="1"/>
    <n v="-1"/>
    <n v="99"/>
  </r>
  <r>
    <n v="0"/>
    <x v="13"/>
    <s v="yes tested"/>
    <x v="0"/>
    <x v="0"/>
    <n v="1"/>
    <n v="0"/>
    <s v="No Pams"/>
    <n v="1"/>
    <n v="1"/>
    <n v="-1"/>
    <n v="-1"/>
    <n v="-1"/>
    <n v="1"/>
    <n v="-1"/>
    <n v="7"/>
  </r>
  <r>
    <n v="0"/>
    <x v="14"/>
    <s v="yes tested"/>
    <x v="0"/>
    <x v="1"/>
    <n v="1"/>
    <n v="0"/>
    <s v="No Pams"/>
    <n v="1"/>
    <n v="1"/>
    <n v="-1"/>
    <n v="-1"/>
    <n v="-1"/>
    <n v="1"/>
    <n v="-1"/>
    <n v="7"/>
  </r>
  <r>
    <n v="1"/>
    <x v="15"/>
    <s v="yes tested"/>
    <x v="0"/>
    <x v="8"/>
    <n v="1"/>
    <n v="0"/>
    <s v="Base Pams"/>
    <n v="1"/>
    <n v="1"/>
    <n v="2"/>
    <n v="2"/>
    <n v="1"/>
    <n v="2"/>
    <n v="1"/>
    <n v="7"/>
  </r>
  <r>
    <n v="1"/>
    <x v="16"/>
    <s v="yes tested"/>
    <x v="0"/>
    <x v="9"/>
    <n v="1"/>
    <n v="0"/>
    <s v="Base Pams"/>
    <n v="1"/>
    <n v="1"/>
    <n v="2"/>
    <n v="2"/>
    <n v="1"/>
    <n v="2"/>
    <n v="1"/>
    <n v="7"/>
  </r>
  <r>
    <n v="0"/>
    <x v="17"/>
    <s v="yes tested"/>
    <x v="0"/>
    <x v="8"/>
    <n v="1"/>
    <n v="0"/>
    <s v="No Pams"/>
    <n v="1"/>
    <n v="1"/>
    <n v="-1"/>
    <n v="-1"/>
    <n v="-1"/>
    <n v="1"/>
    <n v="-1"/>
    <n v="7"/>
  </r>
  <r>
    <n v="0"/>
    <x v="18"/>
    <s v="yes tested"/>
    <x v="0"/>
    <x v="9"/>
    <n v="1"/>
    <n v="0"/>
    <s v="No Pams"/>
    <n v="1"/>
    <n v="1"/>
    <n v="-1"/>
    <n v="-1"/>
    <n v="-1"/>
    <n v="1"/>
    <n v="-1"/>
    <n v="7"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  <r>
    <m/>
    <x v="19"/>
    <m/>
    <x v="1"/>
    <x v="1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26" firstHeaderRow="0" firstDataRow="1" firstDataCol="1"/>
  <pivotFields count="16">
    <pivotField showAll="0"/>
    <pivotField axis="axisRow" showAll="0">
      <items count="22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26" firstHeaderRow="1" firstDataRow="1" firstDataCol="1"/>
  <pivotFields count="16">
    <pivotField showAll="0"/>
    <pivotField axis="axisRow" showAll="0">
      <items count="22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26" firstHeaderRow="1" firstDataRow="1" firstDataCol="1"/>
  <pivotFields count="16">
    <pivotField showAll="0"/>
    <pivotField axis="axisRow" showAll="0">
      <items count="22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2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m="1" x="54"/>
        <item m="1" x="37"/>
        <item m="1" x="30"/>
        <item x="10"/>
        <item m="1" x="36"/>
        <item m="1" x="17"/>
        <item m="1" x="47"/>
        <item m="1" x="59"/>
        <item m="1" x="33"/>
        <item m="1" x="38"/>
        <item m="1" x="34"/>
        <item m="1" x="24"/>
        <item m="1" x="12"/>
        <item m="1" x="45"/>
        <item m="1" x="11"/>
        <item m="1" x="80"/>
        <item m="1" x="21"/>
        <item m="1" x="67"/>
        <item m="1" x="76"/>
        <item m="1" x="25"/>
        <item m="1" x="22"/>
        <item m="1" x="70"/>
        <item m="1" x="49"/>
        <item m="1" x="50"/>
        <item m="1" x="68"/>
        <item m="1" x="29"/>
        <item m="1" x="65"/>
        <item m="1" x="15"/>
        <item m="1" x="19"/>
        <item m="1" x="86"/>
        <item m="1" x="56"/>
        <item m="1" x="77"/>
        <item m="1" x="40"/>
        <item x="0"/>
        <item m="1" x="82"/>
        <item m="1" x="43"/>
        <item m="1" x="57"/>
        <item m="1" x="53"/>
        <item m="1" x="75"/>
        <item m="1" x="73"/>
        <item x="8"/>
        <item m="1" x="84"/>
        <item m="1" x="52"/>
        <item m="1" x="64"/>
        <item m="1" x="72"/>
        <item m="1" x="85"/>
        <item m="1" x="88"/>
        <item m="1" x="41"/>
        <item m="1" x="32"/>
        <item m="1" x="31"/>
        <item m="1" x="60"/>
        <item m="1" x="35"/>
        <item m="1" x="62"/>
        <item m="1" x="18"/>
        <item m="1" x="44"/>
        <item m="1" x="61"/>
        <item m="1" x="74"/>
        <item m="1" x="42"/>
        <item m="1" x="39"/>
        <item m="1" x="16"/>
        <item m="1" x="79"/>
        <item m="1" x="20"/>
        <item m="1" x="26"/>
        <item m="1" x="48"/>
        <item m="1" x="55"/>
        <item m="1" x="27"/>
        <item m="1" x="14"/>
        <item m="1" x="51"/>
        <item m="1" x="58"/>
        <item m="1" x="23"/>
        <item m="1" x="66"/>
        <item m="1" x="78"/>
        <item m="1" x="46"/>
        <item x="6"/>
        <item x="1"/>
        <item x="9"/>
        <item x="7"/>
        <item m="1" x="13"/>
        <item m="1" x="63"/>
        <item m="1" x="71"/>
        <item m="1" x="83"/>
        <item m="1" x="69"/>
        <item m="1" x="81"/>
        <item m="1" x="87"/>
        <item m="1" x="28"/>
        <item x="2"/>
        <item x="3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20">
    <i>
      <x/>
      <x v="3"/>
    </i>
    <i>
      <x v="1"/>
      <x v="33"/>
    </i>
    <i>
      <x v="3"/>
      <x v="33"/>
    </i>
    <i>
      <x v="4"/>
      <x v="74"/>
    </i>
    <i>
      <x v="5"/>
      <x v="33"/>
    </i>
    <i>
      <x v="6"/>
      <x v="74"/>
    </i>
    <i>
      <x v="7"/>
      <x v="74"/>
    </i>
    <i>
      <x v="8"/>
      <x v="33"/>
    </i>
    <i>
      <x v="9"/>
      <x v="40"/>
    </i>
    <i>
      <x v="10"/>
      <x v="75"/>
    </i>
    <i>
      <x v="11"/>
      <x v="73"/>
    </i>
    <i>
      <x v="12"/>
      <x v="76"/>
    </i>
    <i>
      <x v="13"/>
      <x v="73"/>
    </i>
    <i>
      <x v="14"/>
      <x v="76"/>
    </i>
    <i>
      <x v="15"/>
      <x v="40"/>
    </i>
    <i>
      <x v="16"/>
      <x v="75"/>
    </i>
    <i>
      <x v="17"/>
      <x v="85"/>
    </i>
    <i>
      <x v="18"/>
      <x v="86"/>
    </i>
    <i>
      <x v="19"/>
      <x v="87"/>
    </i>
    <i>
      <x v="20"/>
      <x v="8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26" firstHeaderRow="1" firstDataRow="1" firstDataCol="1"/>
  <pivotFields count="16">
    <pivotField showAll="0"/>
    <pivotField axis="axisRow" showAll="0">
      <items count="22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26" firstHeaderRow="1" firstDataRow="1" firstDataCol="1"/>
  <pivotFields count="16">
    <pivotField showAll="0"/>
    <pivotField axis="axisRow" showAll="0">
      <items count="22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26" firstHeaderRow="1" firstDataRow="1" firstDataCol="1"/>
  <pivotFields count="16">
    <pivotField showAll="0"/>
    <pivotField axis="axisRow" showAll="0">
      <items count="22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17" firstHeaderRow="1" firstDataRow="1" firstDataCol="1"/>
  <pivotFields count="16">
    <pivotField showAll="0"/>
    <pivotField showAll="0"/>
    <pivotField showAll="0"/>
    <pivotField showAll="0"/>
    <pivotField axis="axisRow" showAll="0">
      <items count="90">
        <item m="1" x="54"/>
        <item m="1" x="37"/>
        <item m="1" x="30"/>
        <item x="10"/>
        <item m="1" x="36"/>
        <item m="1" x="17"/>
        <item m="1" x="47"/>
        <item m="1" x="59"/>
        <item m="1" x="33"/>
        <item m="1" x="38"/>
        <item m="1" x="34"/>
        <item m="1" x="24"/>
        <item m="1" x="12"/>
        <item m="1" x="45"/>
        <item m="1" x="11"/>
        <item m="1" x="80"/>
        <item m="1" x="21"/>
        <item m="1" x="67"/>
        <item m="1" x="76"/>
        <item m="1" x="25"/>
        <item m="1" x="22"/>
        <item m="1" x="70"/>
        <item m="1" x="49"/>
        <item m="1" x="50"/>
        <item m="1" x="68"/>
        <item m="1" x="29"/>
        <item m="1" x="65"/>
        <item m="1" x="15"/>
        <item m="1" x="19"/>
        <item m="1" x="86"/>
        <item m="1" x="56"/>
        <item m="1" x="77"/>
        <item m="1" x="40"/>
        <item x="0"/>
        <item m="1" x="82"/>
        <item m="1" x="43"/>
        <item m="1" x="57"/>
        <item m="1" x="53"/>
        <item m="1" x="75"/>
        <item m="1" x="73"/>
        <item x="8"/>
        <item m="1" x="84"/>
        <item m="1" x="52"/>
        <item m="1" x="64"/>
        <item m="1" x="72"/>
        <item m="1" x="85"/>
        <item m="1" x="88"/>
        <item m="1" x="41"/>
        <item m="1" x="32"/>
        <item m="1" x="31"/>
        <item m="1" x="60"/>
        <item m="1" x="35"/>
        <item m="1" x="62"/>
        <item m="1" x="18"/>
        <item m="1" x="44"/>
        <item m="1" x="61"/>
        <item m="1" x="74"/>
        <item m="1" x="42"/>
        <item m="1" x="39"/>
        <item m="1" x="16"/>
        <item m="1" x="79"/>
        <item m="1" x="20"/>
        <item m="1" x="26"/>
        <item m="1" x="48"/>
        <item m="1" x="55"/>
        <item m="1" x="27"/>
        <item m="1" x="14"/>
        <item m="1" x="51"/>
        <item m="1" x="58"/>
        <item m="1" x="23"/>
        <item m="1" x="66"/>
        <item m="1" x="78"/>
        <item m="1" x="46"/>
        <item x="6"/>
        <item x="1"/>
        <item x="9"/>
        <item x="7"/>
        <item m="1" x="13"/>
        <item m="1" x="63"/>
        <item m="1" x="71"/>
        <item m="1" x="83"/>
        <item m="1" x="69"/>
        <item m="1" x="81"/>
        <item m="1" x="87"/>
        <item m="1" x="28"/>
        <item x="2"/>
        <item x="3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1">
    <i>
      <x v="3"/>
    </i>
    <i>
      <x v="33"/>
    </i>
    <i>
      <x v="40"/>
    </i>
    <i>
      <x v="73"/>
    </i>
    <i>
      <x v="74"/>
    </i>
    <i>
      <x v="75"/>
    </i>
    <i>
      <x v="76"/>
    </i>
    <i>
      <x v="85"/>
    </i>
    <i>
      <x v="86"/>
    </i>
    <i>
      <x v="87"/>
    </i>
    <i>
      <x v="8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26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21">
        <item x="19"/>
        <item x="0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20">
    <i>
      <x/>
      <x v="2"/>
    </i>
    <i>
      <x v="1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27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268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26" firstHeaderRow="1" firstDataRow="1" firstDataCol="1"/>
  <pivotFields count="16">
    <pivotField showAll="0"/>
    <pivotField axis="axisRow" showAll="0">
      <items count="22">
        <item x="0"/>
        <item x="19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273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26" firstHeaderRow="1" firstDataRow="1" firstDataCol="1"/>
  <pivotFields count="16">
    <pivotField dataField="1" showAll="0"/>
    <pivotField axis="axisRow" showAll="0">
      <items count="22">
        <item x="0"/>
        <item x="19"/>
        <item m="1" x="20"/>
        <item x="1"/>
        <item x="2"/>
        <item x="7"/>
        <item x="8"/>
        <item x="14"/>
        <item x="13"/>
        <item x="15"/>
        <item x="16"/>
        <item x="9"/>
        <item x="10"/>
        <item x="11"/>
        <item x="12"/>
        <item x="17"/>
        <item x="18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0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8BBE1FFC-2FD4-4F7B-8748-DD3A09817AC0}">
    <text>Note that there is still a problem running with other cases here - still looking into it.</text>
  </threadedComment>
  <threadedComment ref="D10" dT="2020-08-07T12:32:29.60" personId="{8A307EF1-062C-4DD1-801F-D45833AE4B68}" id="{B52CCB72-6685-4492-8C79-DF3E9FFF6F64}">
    <text>Note that there is still a problem running with other cases here - still looking into it.</text>
  </threadedComment>
  <threadedComment ref="D11" dT="2020-08-07T12:32:29.60" personId="{8A307EF1-062C-4DD1-801F-D45833AE4B68}" id="{7D96D53B-9120-461B-AD55-4A1A9B2FA010}">
    <text>Note that there is still a problem running with other cases here - still looking into it.</text>
  </threadedComment>
  <threadedComment ref="D12" dT="2020-08-07T12:32:29.60" personId="{8A307EF1-062C-4DD1-801F-D45833AE4B68}" id="{F7A6309E-47C5-4215-AF1D-E1CADE616AE1}">
    <text>Note that there is still a problem running with other cases here - still looking into it.</text>
  </threadedComment>
  <threadedComment ref="D13" dT="2020-08-07T12:32:29.60" personId="{8A307EF1-062C-4DD1-801F-D45833AE4B68}" id="{25B8C135-0142-4D67-857B-4D1E352686CD}">
    <text>Note that there is still a problem running with other cases here - still looking into it.</text>
  </threadedComment>
  <threadedComment ref="D14" dT="2020-08-07T12:32:29.60" personId="{8A307EF1-062C-4DD1-801F-D45833AE4B68}" id="{804AD62C-96F4-4D38-8DE0-DD3B71972325}">
    <text>Note that there is still a problem running with other cases here - still looking into it.</text>
  </threadedComment>
  <threadedComment ref="D15" dT="2020-08-07T12:32:29.60" personId="{8A307EF1-062C-4DD1-801F-D45833AE4B68}" id="{C554E512-E203-4DD4-9C00-323DB78A9184}">
    <text>Note that there is still a problem running with other cases here - still looking into it.</text>
  </threadedComment>
  <threadedComment ref="D16" dT="2020-08-07T12:32:29.60" personId="{8A307EF1-062C-4DD1-801F-D45833AE4B68}" id="{436E1344-8852-40F4-B9F0-441B833C458D}">
    <text>Note that there is still a problem running with other cases here - still looking into it.</text>
  </threadedComment>
  <threadedComment ref="D17" dT="2020-08-07T12:32:29.60" personId="{8A307EF1-062C-4DD1-801F-D45833AE4B68}" id="{1F4D338C-2FDC-4811-9F7B-437035031B21}">
    <text>Note that there is still a problem running with other cases here - still looking into it.</text>
  </threadedComment>
  <threadedComment ref="D18" dT="2020-08-07T12:32:29.60" personId="{8A307EF1-062C-4DD1-801F-D45833AE4B68}" id="{05EA5EFB-A0A7-4F58-B5AB-DA2A85B46885}">
    <text>Note that there is still a problem running with other cases here - still looking into it.</text>
  </threadedComment>
  <threadedComment ref="D19" dT="2020-08-07T12:32:29.60" personId="{8A307EF1-062C-4DD1-801F-D45833AE4B68}" id="{A8FD46F7-2509-4D9D-87F3-965331A68EB0}">
    <text>Note that there is still a problem running with other cases here - still looking into it.</text>
  </threadedComment>
  <threadedComment ref="D20" dT="2020-08-07T12:32:29.60" personId="{8A307EF1-062C-4DD1-801F-D45833AE4B68}" id="{C516673F-DAB6-4A8A-8E8A-D37418B9F054}">
    <text>Note that there is still a problem running with other cases here - still looking into it.</text>
  </threadedComment>
  <threadedComment ref="D21" dT="2020-08-07T12:32:29.60" personId="{8A307EF1-062C-4DD1-801F-D45833AE4B68}" id="{458F5881-2CEA-40DE-A6A7-34ED9A9DF34F}">
    <text>Note that there is still a problem running with other cases here - still looking into it.</text>
  </threadedComment>
  <threadedComment ref="D22" dT="2020-08-07T12:32:29.60" personId="{8A307EF1-062C-4DD1-801F-D45833AE4B68}" id="{3A5B42A3-A069-43E9-B276-A45F45367255}">
    <text>Note that there is still a problem running with other cases here - still looking into it.</text>
  </threadedComment>
  <threadedComment ref="D23" dT="2020-08-07T12:32:29.60" personId="{8A307EF1-062C-4DD1-801F-D45833AE4B68}" id="{36D0A571-47BF-41CA-A9F1-FFC662D15AD9}">
    <text>Note that there is still a problem running with other cases here - still looking into it.</text>
  </threadedComment>
  <threadedComment ref="D24" dT="2020-08-07T12:32:29.60" personId="{8A307EF1-062C-4DD1-801F-D45833AE4B68}" id="{EC804FF9-4C91-4196-BB9D-A984487A71E8}">
    <text>Note that there is still a problem running with other cases here - still looking into it.</text>
  </threadedComment>
  <threadedComment ref="D25" dT="2020-08-07T12:32:29.60" personId="{8A307EF1-062C-4DD1-801F-D45833AE4B68}" id="{D5D2B270-55A6-435D-8F6C-F6F570272A4E}">
    <text>Note that there is still a problem running with other cases here - still looking into it.</text>
  </threadedComment>
  <threadedComment ref="D26" dT="2020-08-07T12:32:29.60" personId="{8A307EF1-062C-4DD1-801F-D45833AE4B68}" id="{7AE145BC-18BF-43F2-8EB7-8E070D5A01DC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202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203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207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59"/>
  <sheetViews>
    <sheetView topLeftCell="A111" workbookViewId="0">
      <selection activeCell="A133" sqref="A133:A134"/>
    </sheetView>
  </sheetViews>
  <sheetFormatPr defaultRowHeight="15"/>
  <cols>
    <col min="1" max="1" width="23" bestFit="1" customWidth="1"/>
    <col min="2" max="2" width="16.28515625" style="7" bestFit="1" customWidth="1"/>
    <col min="3" max="4" width="13.140625" style="7" customWidth="1"/>
    <col min="5" max="7" width="23" style="7" bestFit="1" customWidth="1"/>
    <col min="8" max="8" width="19.85546875" style="7" bestFit="1" customWidth="1"/>
    <col min="9" max="9" width="23" style="7" bestFit="1" customWidth="1"/>
    <col min="10" max="10" width="18.5703125" style="7" bestFit="1" customWidth="1"/>
    <col min="11" max="11" width="23" style="7" bestFit="1" customWidth="1"/>
    <col min="12" max="12" width="20.7109375" style="7" bestFit="1" customWidth="1"/>
    <col min="13" max="13" width="23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3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3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205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200</v>
      </c>
      <c r="M6" s="12" t="s">
        <v>33</v>
      </c>
      <c r="N6" t="s">
        <v>201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206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220</v>
      </c>
      <c r="B7" s="13" t="s">
        <v>193</v>
      </c>
      <c r="C7" s="12" t="s">
        <v>30</v>
      </c>
      <c r="D7" s="13" t="s">
        <v>30</v>
      </c>
      <c r="E7" s="13" t="s">
        <v>220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193</v>
      </c>
      <c r="B8" s="13" t="s">
        <v>204</v>
      </c>
      <c r="C8" s="13" t="s">
        <v>31</v>
      </c>
      <c r="D8" s="13" t="s">
        <v>193</v>
      </c>
      <c r="E8" s="13" t="s">
        <v>193</v>
      </c>
      <c r="F8" s="3">
        <v>0</v>
      </c>
      <c r="G8" s="13" t="s">
        <v>220</v>
      </c>
      <c r="H8" s="3">
        <v>1</v>
      </c>
      <c r="I8" s="13" t="s">
        <v>220</v>
      </c>
      <c r="J8" s="3">
        <v>1</v>
      </c>
      <c r="K8" s="13" t="s">
        <v>220</v>
      </c>
      <c r="L8" s="3">
        <v>1</v>
      </c>
      <c r="M8" s="13" t="s">
        <v>220</v>
      </c>
      <c r="N8" s="3">
        <v>1</v>
      </c>
      <c r="O8" s="7" t="s">
        <v>220</v>
      </c>
      <c r="P8" s="7" t="s">
        <v>204</v>
      </c>
      <c r="Q8" s="7" t="s">
        <v>220</v>
      </c>
      <c r="R8" s="7" t="s">
        <v>30</v>
      </c>
      <c r="S8" s="13" t="s">
        <v>220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220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221</v>
      </c>
      <c r="B9" s="13" t="s">
        <v>208</v>
      </c>
      <c r="C9" s="13" t="s">
        <v>32</v>
      </c>
      <c r="D9"/>
      <c r="E9" s="13" t="s">
        <v>221</v>
      </c>
      <c r="F9" s="3">
        <v>1</v>
      </c>
      <c r="G9" s="13" t="s">
        <v>221</v>
      </c>
      <c r="H9" s="3">
        <v>0</v>
      </c>
      <c r="I9" s="13" t="s">
        <v>221</v>
      </c>
      <c r="J9" s="3">
        <v>0</v>
      </c>
      <c r="K9" s="13" t="s">
        <v>221</v>
      </c>
      <c r="L9" s="3">
        <v>1</v>
      </c>
      <c r="M9" s="13" t="s">
        <v>221</v>
      </c>
      <c r="N9" s="3">
        <v>1</v>
      </c>
      <c r="O9" s="7" t="s">
        <v>221</v>
      </c>
      <c r="P9" s="7" t="s">
        <v>204</v>
      </c>
      <c r="Q9" s="7" t="s">
        <v>221</v>
      </c>
      <c r="R9" s="7" t="s">
        <v>30</v>
      </c>
      <c r="S9" s="13" t="s">
        <v>221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221</v>
      </c>
      <c r="AB9" s="3">
        <v>99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222</v>
      </c>
      <c r="B10" s="13" t="s">
        <v>219</v>
      </c>
      <c r="C10" s="13" t="s">
        <v>46</v>
      </c>
      <c r="D10"/>
      <c r="E10" s="13" t="s">
        <v>222</v>
      </c>
      <c r="F10" s="3">
        <v>1</v>
      </c>
      <c r="G10" s="13" t="s">
        <v>222</v>
      </c>
      <c r="H10" s="3">
        <v>0</v>
      </c>
      <c r="I10" s="13" t="s">
        <v>222</v>
      </c>
      <c r="J10" s="3">
        <v>0</v>
      </c>
      <c r="K10" s="13" t="s">
        <v>222</v>
      </c>
      <c r="L10" s="3">
        <v>1</v>
      </c>
      <c r="M10" s="13" t="s">
        <v>222</v>
      </c>
      <c r="N10" s="3">
        <v>1</v>
      </c>
      <c r="O10" s="7" t="s">
        <v>222</v>
      </c>
      <c r="P10" s="7" t="s">
        <v>223</v>
      </c>
      <c r="Q10" s="7" t="s">
        <v>222</v>
      </c>
      <c r="R10" s="7" t="s">
        <v>30</v>
      </c>
      <c r="S10" s="13" t="s">
        <v>222</v>
      </c>
      <c r="T10" s="3">
        <v>-1</v>
      </c>
      <c r="U10" s="3">
        <v>-1</v>
      </c>
      <c r="V10" s="3">
        <v>-1</v>
      </c>
      <c r="W10" s="3">
        <v>1</v>
      </c>
      <c r="X10" s="3">
        <v>-1</v>
      </c>
      <c r="Y10" s="3"/>
      <c r="Z10" s="3"/>
      <c r="AA10" s="13" t="s">
        <v>222</v>
      </c>
      <c r="AB10" s="3">
        <v>99</v>
      </c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224</v>
      </c>
      <c r="B11" s="13" t="s">
        <v>223</v>
      </c>
      <c r="C11" s="13" t="s">
        <v>47</v>
      </c>
      <c r="D11"/>
      <c r="E11" s="13" t="s">
        <v>224</v>
      </c>
      <c r="F11" s="3">
        <v>1</v>
      </c>
      <c r="G11" s="13" t="s">
        <v>224</v>
      </c>
      <c r="H11" s="3">
        <v>1</v>
      </c>
      <c r="I11" s="13" t="s">
        <v>224</v>
      </c>
      <c r="J11" s="3">
        <v>1</v>
      </c>
      <c r="K11" s="13" t="s">
        <v>224</v>
      </c>
      <c r="L11" s="3">
        <v>1</v>
      </c>
      <c r="M11" s="13" t="s">
        <v>224</v>
      </c>
      <c r="N11" s="3">
        <v>1</v>
      </c>
      <c r="O11" s="7" t="s">
        <v>224</v>
      </c>
      <c r="P11" s="7" t="s">
        <v>204</v>
      </c>
      <c r="Q11" s="7" t="s">
        <v>224</v>
      </c>
      <c r="R11" s="7" t="s">
        <v>30</v>
      </c>
      <c r="S11" s="13" t="s">
        <v>224</v>
      </c>
      <c r="T11" s="3">
        <v>-1</v>
      </c>
      <c r="U11" s="3">
        <v>-1</v>
      </c>
      <c r="V11" s="3">
        <v>-1</v>
      </c>
      <c r="W11" s="3">
        <v>1</v>
      </c>
      <c r="X11" s="3">
        <v>-1</v>
      </c>
      <c r="Y11" s="3"/>
      <c r="Z11" s="3"/>
      <c r="AA11" s="13" t="s">
        <v>224</v>
      </c>
      <c r="AB11" s="3">
        <v>99</v>
      </c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225</v>
      </c>
      <c r="B12" s="13" t="s">
        <v>230</v>
      </c>
      <c r="C12" s="13" t="s">
        <v>48</v>
      </c>
      <c r="D12" s="13"/>
      <c r="E12" s="13" t="s">
        <v>225</v>
      </c>
      <c r="F12" s="3">
        <v>1</v>
      </c>
      <c r="G12" s="13" t="s">
        <v>225</v>
      </c>
      <c r="H12" s="3">
        <v>1</v>
      </c>
      <c r="I12" s="13" t="s">
        <v>225</v>
      </c>
      <c r="J12" s="3">
        <v>1</v>
      </c>
      <c r="K12" s="13" t="s">
        <v>225</v>
      </c>
      <c r="L12" s="3">
        <v>1</v>
      </c>
      <c r="M12" s="13" t="s">
        <v>225</v>
      </c>
      <c r="N12" s="3">
        <v>1</v>
      </c>
      <c r="O12" s="7" t="s">
        <v>225</v>
      </c>
      <c r="P12" s="7" t="s">
        <v>223</v>
      </c>
      <c r="Q12" s="7" t="s">
        <v>225</v>
      </c>
      <c r="R12" s="7" t="s">
        <v>30</v>
      </c>
      <c r="S12" s="13" t="s">
        <v>225</v>
      </c>
      <c r="T12" s="3">
        <v>-1</v>
      </c>
      <c r="U12" s="3">
        <v>-1</v>
      </c>
      <c r="V12" s="3">
        <v>-1</v>
      </c>
      <c r="W12" s="3">
        <v>1</v>
      </c>
      <c r="X12" s="3">
        <v>-1</v>
      </c>
      <c r="Y12" s="3"/>
      <c r="Z12" s="3"/>
      <c r="AA12" s="13" t="s">
        <v>225</v>
      </c>
      <c r="AB12" s="3">
        <v>99</v>
      </c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226</v>
      </c>
      <c r="B13" s="13" t="s">
        <v>233</v>
      </c>
      <c r="C13" s="13" t="s">
        <v>49</v>
      </c>
      <c r="D13" s="13"/>
      <c r="E13" s="13" t="s">
        <v>226</v>
      </c>
      <c r="F13" s="3">
        <v>0</v>
      </c>
      <c r="G13" s="13" t="s">
        <v>226</v>
      </c>
      <c r="H13" s="3">
        <v>1</v>
      </c>
      <c r="I13" s="13" t="s">
        <v>226</v>
      </c>
      <c r="J13" s="3">
        <v>0</v>
      </c>
      <c r="K13" s="13" t="s">
        <v>226</v>
      </c>
      <c r="L13" s="3">
        <v>1</v>
      </c>
      <c r="M13" s="13" t="s">
        <v>226</v>
      </c>
      <c r="N13" s="3">
        <v>1</v>
      </c>
      <c r="O13" s="7" t="s">
        <v>226</v>
      </c>
      <c r="P13" s="7" t="s">
        <v>223</v>
      </c>
      <c r="Q13" s="7" t="s">
        <v>226</v>
      </c>
      <c r="R13" s="7" t="s">
        <v>30</v>
      </c>
      <c r="S13" s="13" t="s">
        <v>226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3" t="s">
        <v>226</v>
      </c>
      <c r="AB13" s="3">
        <v>7</v>
      </c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227</v>
      </c>
      <c r="B14" s="13" t="s">
        <v>243</v>
      </c>
      <c r="C14" s="13" t="s">
        <v>50</v>
      </c>
      <c r="D14" s="13"/>
      <c r="E14" s="13" t="s">
        <v>227</v>
      </c>
      <c r="F14" s="3">
        <v>0</v>
      </c>
      <c r="G14" s="13" t="s">
        <v>227</v>
      </c>
      <c r="H14" s="3">
        <v>1</v>
      </c>
      <c r="I14" s="13" t="s">
        <v>227</v>
      </c>
      <c r="J14" s="3">
        <v>0</v>
      </c>
      <c r="K14" s="13" t="s">
        <v>227</v>
      </c>
      <c r="L14" s="3">
        <v>1</v>
      </c>
      <c r="M14" s="13" t="s">
        <v>227</v>
      </c>
      <c r="N14" s="3">
        <v>1</v>
      </c>
      <c r="O14" s="7" t="s">
        <v>227</v>
      </c>
      <c r="P14" s="7" t="s">
        <v>204</v>
      </c>
      <c r="Q14" s="7" t="s">
        <v>227</v>
      </c>
      <c r="R14" s="7" t="s">
        <v>30</v>
      </c>
      <c r="S14" s="13" t="s">
        <v>227</v>
      </c>
      <c r="T14" s="3">
        <v>-1</v>
      </c>
      <c r="U14" s="3">
        <v>-1</v>
      </c>
      <c r="V14" s="3">
        <v>-1</v>
      </c>
      <c r="W14" s="3">
        <v>1</v>
      </c>
      <c r="X14" s="3">
        <v>-1</v>
      </c>
      <c r="Y14" s="3"/>
      <c r="Z14" s="3"/>
      <c r="AA14" s="13" t="s">
        <v>227</v>
      </c>
      <c r="AB14" s="3">
        <v>7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228</v>
      </c>
      <c r="B15" s="13" t="s">
        <v>244</v>
      </c>
      <c r="C15" s="13" t="s">
        <v>51</v>
      </c>
      <c r="D15" s="13"/>
      <c r="E15" s="13" t="s">
        <v>228</v>
      </c>
      <c r="F15" s="3">
        <v>1</v>
      </c>
      <c r="G15" s="13" t="s">
        <v>228</v>
      </c>
      <c r="H15" s="3">
        <v>1</v>
      </c>
      <c r="I15" s="13" t="s">
        <v>228</v>
      </c>
      <c r="J15" s="3">
        <v>0</v>
      </c>
      <c r="K15" s="13" t="s">
        <v>228</v>
      </c>
      <c r="L15" s="3">
        <v>1</v>
      </c>
      <c r="M15" s="13" t="s">
        <v>228</v>
      </c>
      <c r="N15" s="3">
        <v>1</v>
      </c>
      <c r="O15" s="7" t="s">
        <v>228</v>
      </c>
      <c r="P15" s="7" t="s">
        <v>208</v>
      </c>
      <c r="Q15" s="7" t="s">
        <v>228</v>
      </c>
      <c r="R15" s="7" t="s">
        <v>30</v>
      </c>
      <c r="S15" s="13" t="s">
        <v>228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3" t="s">
        <v>228</v>
      </c>
      <c r="AB15" s="3">
        <v>7</v>
      </c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229</v>
      </c>
      <c r="B16" s="13" t="s">
        <v>245</v>
      </c>
      <c r="C16" s="13" t="s">
        <v>52</v>
      </c>
      <c r="D16" s="13"/>
      <c r="E16" s="13" t="s">
        <v>229</v>
      </c>
      <c r="F16" s="3">
        <v>1</v>
      </c>
      <c r="G16" s="13" t="s">
        <v>229</v>
      </c>
      <c r="H16" s="3">
        <v>1</v>
      </c>
      <c r="I16" s="13" t="s">
        <v>229</v>
      </c>
      <c r="J16" s="3">
        <v>0</v>
      </c>
      <c r="K16" s="13" t="s">
        <v>229</v>
      </c>
      <c r="L16" s="3">
        <v>1</v>
      </c>
      <c r="M16" s="13" t="s">
        <v>229</v>
      </c>
      <c r="N16" s="3">
        <v>1</v>
      </c>
      <c r="O16" s="7" t="s">
        <v>229</v>
      </c>
      <c r="P16" s="7" t="s">
        <v>230</v>
      </c>
      <c r="Q16" s="7" t="s">
        <v>229</v>
      </c>
      <c r="R16" s="7" t="s">
        <v>30</v>
      </c>
      <c r="S16" s="13" t="s">
        <v>229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3" t="s">
        <v>229</v>
      </c>
      <c r="AB16" s="3">
        <v>7</v>
      </c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231</v>
      </c>
      <c r="B17" s="13" t="s">
        <v>246</v>
      </c>
      <c r="E17" s="13" t="s">
        <v>231</v>
      </c>
      <c r="F17" s="3">
        <v>0</v>
      </c>
      <c r="G17" s="13" t="s">
        <v>231</v>
      </c>
      <c r="H17" s="3">
        <v>0</v>
      </c>
      <c r="I17" s="13" t="s">
        <v>231</v>
      </c>
      <c r="J17" s="3">
        <v>0</v>
      </c>
      <c r="K17" s="13" t="s">
        <v>231</v>
      </c>
      <c r="L17" s="3">
        <v>1</v>
      </c>
      <c r="M17" s="13" t="s">
        <v>231</v>
      </c>
      <c r="N17" s="3">
        <v>1</v>
      </c>
      <c r="O17" s="7" t="s">
        <v>231</v>
      </c>
      <c r="P17" s="7" t="s">
        <v>219</v>
      </c>
      <c r="Q17" s="7" t="s">
        <v>231</v>
      </c>
      <c r="R17" s="7" t="s">
        <v>30</v>
      </c>
      <c r="S17" s="13" t="s">
        <v>231</v>
      </c>
      <c r="T17" s="3">
        <v>-1</v>
      </c>
      <c r="U17" s="3">
        <v>-1</v>
      </c>
      <c r="V17" s="3">
        <v>-1</v>
      </c>
      <c r="W17" s="3">
        <v>1</v>
      </c>
      <c r="X17" s="3">
        <v>-1</v>
      </c>
      <c r="Y17" s="3"/>
      <c r="Z17" s="3"/>
      <c r="AA17" s="13" t="s">
        <v>231</v>
      </c>
      <c r="AB17" s="3">
        <v>99</v>
      </c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232</v>
      </c>
      <c r="B18"/>
      <c r="E18" s="13" t="s">
        <v>232</v>
      </c>
      <c r="F18" s="3">
        <v>0</v>
      </c>
      <c r="G18" s="13" t="s">
        <v>232</v>
      </c>
      <c r="H18" s="3">
        <v>0</v>
      </c>
      <c r="I18" s="13" t="s">
        <v>232</v>
      </c>
      <c r="J18" s="3">
        <v>0</v>
      </c>
      <c r="K18" s="13" t="s">
        <v>232</v>
      </c>
      <c r="L18" s="3">
        <v>1</v>
      </c>
      <c r="M18" s="13" t="s">
        <v>232</v>
      </c>
      <c r="N18" s="3">
        <v>1</v>
      </c>
      <c r="O18" s="7" t="s">
        <v>232</v>
      </c>
      <c r="P18" s="7" t="s">
        <v>233</v>
      </c>
      <c r="Q18" s="7" t="s">
        <v>232</v>
      </c>
      <c r="R18" s="7" t="s">
        <v>30</v>
      </c>
      <c r="S18" s="13" t="s">
        <v>232</v>
      </c>
      <c r="T18" s="3">
        <v>-1</v>
      </c>
      <c r="U18" s="3">
        <v>-1</v>
      </c>
      <c r="V18" s="3">
        <v>-1</v>
      </c>
      <c r="W18" s="3">
        <v>1</v>
      </c>
      <c r="X18" s="3">
        <v>-1</v>
      </c>
      <c r="Y18" s="3"/>
      <c r="Z18" s="3"/>
      <c r="AA18" s="13" t="s">
        <v>232</v>
      </c>
      <c r="AB18" s="3">
        <v>99</v>
      </c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235</v>
      </c>
      <c r="B19"/>
      <c r="E19" s="13" t="s">
        <v>235</v>
      </c>
      <c r="F19" s="3">
        <v>0</v>
      </c>
      <c r="G19" s="13" t="s">
        <v>235</v>
      </c>
      <c r="H19" s="3">
        <v>1</v>
      </c>
      <c r="I19" s="13" t="s">
        <v>235</v>
      </c>
      <c r="J19" s="3">
        <v>0</v>
      </c>
      <c r="K19" s="13" t="s">
        <v>235</v>
      </c>
      <c r="L19" s="3">
        <v>1</v>
      </c>
      <c r="M19" s="13" t="s">
        <v>235</v>
      </c>
      <c r="N19" s="3">
        <v>1</v>
      </c>
      <c r="O19" s="7" t="s">
        <v>235</v>
      </c>
      <c r="P19" s="7" t="s">
        <v>219</v>
      </c>
      <c r="Q19" s="7" t="s">
        <v>235</v>
      </c>
      <c r="R19" s="7" t="s">
        <v>30</v>
      </c>
      <c r="S19" s="13" t="s">
        <v>235</v>
      </c>
      <c r="T19" s="3">
        <v>-1</v>
      </c>
      <c r="U19" s="3">
        <v>-1</v>
      </c>
      <c r="V19" s="3">
        <v>-1</v>
      </c>
      <c r="W19" s="3">
        <v>1</v>
      </c>
      <c r="X19" s="3">
        <v>-1</v>
      </c>
      <c r="Y19" s="3"/>
      <c r="Z19" s="3"/>
      <c r="AA19" s="13" t="s">
        <v>235</v>
      </c>
      <c r="AB19" s="3">
        <v>99</v>
      </c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236</v>
      </c>
      <c r="B20"/>
      <c r="E20" s="13" t="s">
        <v>236</v>
      </c>
      <c r="F20" s="3">
        <v>0</v>
      </c>
      <c r="G20" s="13" t="s">
        <v>236</v>
      </c>
      <c r="H20" s="3">
        <v>0</v>
      </c>
      <c r="I20" s="13" t="s">
        <v>236</v>
      </c>
      <c r="J20" s="3">
        <v>0</v>
      </c>
      <c r="K20" s="13" t="s">
        <v>236</v>
      </c>
      <c r="L20" s="3">
        <v>1</v>
      </c>
      <c r="M20" s="13" t="s">
        <v>236</v>
      </c>
      <c r="N20" s="3">
        <v>1</v>
      </c>
      <c r="O20" s="7" t="s">
        <v>236</v>
      </c>
      <c r="P20" s="7" t="s">
        <v>233</v>
      </c>
      <c r="Q20" s="7" t="s">
        <v>236</v>
      </c>
      <c r="R20" s="7" t="s">
        <v>30</v>
      </c>
      <c r="S20" s="13" t="s">
        <v>236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3" t="s">
        <v>236</v>
      </c>
      <c r="AB20" s="3">
        <v>99</v>
      </c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237</v>
      </c>
      <c r="B21"/>
      <c r="E21" s="13" t="s">
        <v>237</v>
      </c>
      <c r="F21" s="3">
        <v>0</v>
      </c>
      <c r="G21" s="13" t="s">
        <v>237</v>
      </c>
      <c r="H21" s="3">
        <v>1</v>
      </c>
      <c r="I21" s="13" t="s">
        <v>237</v>
      </c>
      <c r="J21" s="3">
        <v>0</v>
      </c>
      <c r="K21" s="13" t="s">
        <v>237</v>
      </c>
      <c r="L21" s="3">
        <v>1</v>
      </c>
      <c r="M21" s="13" t="s">
        <v>237</v>
      </c>
      <c r="N21" s="3">
        <v>1</v>
      </c>
      <c r="O21" s="7" t="s">
        <v>237</v>
      </c>
      <c r="P21" s="7" t="s">
        <v>208</v>
      </c>
      <c r="Q21" s="7" t="s">
        <v>237</v>
      </c>
      <c r="R21" s="7" t="s">
        <v>30</v>
      </c>
      <c r="S21" s="13" t="s">
        <v>237</v>
      </c>
      <c r="T21" s="3">
        <v>-1</v>
      </c>
      <c r="U21" s="3">
        <v>-1</v>
      </c>
      <c r="V21" s="3">
        <v>-1</v>
      </c>
      <c r="W21" s="3">
        <v>1</v>
      </c>
      <c r="X21" s="3">
        <v>-1</v>
      </c>
      <c r="Y21" s="3"/>
      <c r="Z21" s="3"/>
      <c r="AA21" s="13" t="s">
        <v>237</v>
      </c>
      <c r="AB21" s="3">
        <v>7</v>
      </c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238</v>
      </c>
      <c r="B22"/>
      <c r="E22" s="13" t="s">
        <v>238</v>
      </c>
      <c r="F22" s="3">
        <v>0</v>
      </c>
      <c r="G22" s="13" t="s">
        <v>238</v>
      </c>
      <c r="H22" s="3">
        <v>1</v>
      </c>
      <c r="I22" s="13" t="s">
        <v>238</v>
      </c>
      <c r="J22" s="3">
        <v>0</v>
      </c>
      <c r="K22" s="13" t="s">
        <v>238</v>
      </c>
      <c r="L22" s="3">
        <v>1</v>
      </c>
      <c r="M22" s="13" t="s">
        <v>238</v>
      </c>
      <c r="N22" s="3">
        <v>1</v>
      </c>
      <c r="O22" s="7" t="s">
        <v>238</v>
      </c>
      <c r="P22" s="7" t="s">
        <v>230</v>
      </c>
      <c r="Q22" s="7" t="s">
        <v>238</v>
      </c>
      <c r="R22" s="7" t="s">
        <v>30</v>
      </c>
      <c r="S22" s="13" t="s">
        <v>238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3" t="s">
        <v>238</v>
      </c>
      <c r="AB22" s="3">
        <v>7</v>
      </c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239</v>
      </c>
      <c r="B23"/>
      <c r="E23" s="13" t="s">
        <v>239</v>
      </c>
      <c r="F23" s="3">
        <v>1</v>
      </c>
      <c r="G23" s="13" t="s">
        <v>239</v>
      </c>
      <c r="H23" s="3">
        <v>0</v>
      </c>
      <c r="I23" s="13" t="s">
        <v>239</v>
      </c>
      <c r="J23" s="3">
        <v>0</v>
      </c>
      <c r="K23" s="13" t="s">
        <v>239</v>
      </c>
      <c r="L23" s="3">
        <v>1</v>
      </c>
      <c r="M23" s="13" t="s">
        <v>239</v>
      </c>
      <c r="N23" s="3">
        <v>1</v>
      </c>
      <c r="O23" s="7" t="s">
        <v>239</v>
      </c>
      <c r="P23" s="7" t="s">
        <v>243</v>
      </c>
      <c r="Q23" s="7" t="s">
        <v>239</v>
      </c>
      <c r="R23" s="7" t="s">
        <v>30</v>
      </c>
      <c r="S23" s="13" t="s">
        <v>239</v>
      </c>
      <c r="T23" s="3">
        <v>-1</v>
      </c>
      <c r="U23" s="3">
        <v>-1</v>
      </c>
      <c r="V23" s="3">
        <v>-1</v>
      </c>
      <c r="W23" s="3">
        <v>1</v>
      </c>
      <c r="X23" s="3">
        <v>-1</v>
      </c>
      <c r="Y23" s="3"/>
      <c r="Z23" s="3"/>
      <c r="AA23" s="13" t="s">
        <v>239</v>
      </c>
      <c r="AB23" s="3">
        <v>99</v>
      </c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240</v>
      </c>
      <c r="B24"/>
      <c r="E24" s="13" t="s">
        <v>240</v>
      </c>
      <c r="F24" s="3">
        <v>1</v>
      </c>
      <c r="G24" s="13" t="s">
        <v>240</v>
      </c>
      <c r="H24" s="3">
        <v>1</v>
      </c>
      <c r="I24" s="13" t="s">
        <v>240</v>
      </c>
      <c r="J24" s="3">
        <v>0</v>
      </c>
      <c r="K24" s="13" t="s">
        <v>240</v>
      </c>
      <c r="L24" s="3">
        <v>1</v>
      </c>
      <c r="M24" s="13" t="s">
        <v>240</v>
      </c>
      <c r="N24" s="3">
        <v>1</v>
      </c>
      <c r="O24" s="7" t="s">
        <v>240</v>
      </c>
      <c r="P24" s="7" t="s">
        <v>244</v>
      </c>
      <c r="Q24" s="7" t="s">
        <v>240</v>
      </c>
      <c r="R24" s="7" t="s">
        <v>30</v>
      </c>
      <c r="S24" s="13" t="s">
        <v>240</v>
      </c>
      <c r="T24" s="3">
        <v>-1</v>
      </c>
      <c r="U24" s="3">
        <v>-1</v>
      </c>
      <c r="V24" s="3">
        <v>-1</v>
      </c>
      <c r="W24" s="3">
        <v>1</v>
      </c>
      <c r="X24" s="3">
        <v>-1</v>
      </c>
      <c r="Y24" s="3"/>
      <c r="Z24" s="3"/>
      <c r="AA24" s="13" t="s">
        <v>240</v>
      </c>
      <c r="AB24" s="3">
        <v>99</v>
      </c>
      <c r="AD24" s="14">
        <v>2029</v>
      </c>
      <c r="AH24" s="7"/>
      <c r="AI24" s="7"/>
      <c r="AJ24" s="7"/>
      <c r="AM24" s="7"/>
    </row>
    <row r="25" spans="1:39">
      <c r="A25" s="13" t="s">
        <v>241</v>
      </c>
      <c r="B25"/>
      <c r="E25" s="13" t="s">
        <v>241</v>
      </c>
      <c r="F25" s="3">
        <v>1</v>
      </c>
      <c r="G25" s="13" t="s">
        <v>241</v>
      </c>
      <c r="H25" s="3">
        <v>0</v>
      </c>
      <c r="I25" s="13" t="s">
        <v>241</v>
      </c>
      <c r="J25" s="3">
        <v>0</v>
      </c>
      <c r="K25" s="13" t="s">
        <v>241</v>
      </c>
      <c r="L25" s="3">
        <v>1</v>
      </c>
      <c r="M25" s="13" t="s">
        <v>241</v>
      </c>
      <c r="N25" s="3">
        <v>1</v>
      </c>
      <c r="O25" s="7" t="s">
        <v>241</v>
      </c>
      <c r="P25" s="7" t="s">
        <v>245</v>
      </c>
      <c r="Q25" s="7" t="s">
        <v>241</v>
      </c>
      <c r="R25" s="7" t="s">
        <v>30</v>
      </c>
      <c r="S25" s="13" t="s">
        <v>241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241</v>
      </c>
      <c r="AB25" s="3">
        <v>99</v>
      </c>
      <c r="AD25" s="14">
        <v>2030</v>
      </c>
      <c r="AH25" s="7"/>
      <c r="AI25" s="7"/>
      <c r="AJ25" s="7"/>
      <c r="AM25" s="7"/>
    </row>
    <row r="26" spans="1:39">
      <c r="A26" s="13" t="s">
        <v>242</v>
      </c>
      <c r="B26"/>
      <c r="E26" s="13" t="s">
        <v>242</v>
      </c>
      <c r="F26" s="3">
        <v>1</v>
      </c>
      <c r="G26" s="13" t="s">
        <v>242</v>
      </c>
      <c r="H26" s="3">
        <v>1</v>
      </c>
      <c r="I26" s="13" t="s">
        <v>242</v>
      </c>
      <c r="J26" s="3">
        <v>0</v>
      </c>
      <c r="K26" s="13" t="s">
        <v>242</v>
      </c>
      <c r="L26" s="3">
        <v>1</v>
      </c>
      <c r="M26" s="13" t="s">
        <v>242</v>
      </c>
      <c r="N26" s="3">
        <v>1</v>
      </c>
      <c r="O26" s="7" t="s">
        <v>242</v>
      </c>
      <c r="P26" s="7" t="s">
        <v>246</v>
      </c>
      <c r="Q26" s="7" t="s">
        <v>242</v>
      </c>
      <c r="R26" s="7" t="s">
        <v>30</v>
      </c>
      <c r="S26" s="13" t="s">
        <v>242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3" t="s">
        <v>242</v>
      </c>
      <c r="AB26" s="3">
        <v>99</v>
      </c>
      <c r="AD26" s="14">
        <v>2031</v>
      </c>
      <c r="AH26" s="7"/>
      <c r="AI26" s="7"/>
      <c r="AJ26" s="7"/>
      <c r="AM26" s="7"/>
    </row>
    <row r="27" spans="1:39">
      <c r="B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 s="3"/>
      <c r="Z27" s="3"/>
      <c r="AA27"/>
      <c r="AB27"/>
      <c r="AD27" s="14">
        <v>2032</v>
      </c>
      <c r="AH27" s="7"/>
      <c r="AI27" s="7"/>
      <c r="AJ27" s="7"/>
      <c r="AM27" s="7"/>
    </row>
    <row r="28" spans="1:39">
      <c r="B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 s="3"/>
      <c r="Z28" s="3"/>
      <c r="AA28"/>
      <c r="AB28"/>
      <c r="AD28" s="14">
        <v>2033</v>
      </c>
      <c r="AH28" s="7"/>
      <c r="AI28" s="7"/>
      <c r="AJ28" s="7"/>
      <c r="AM28" s="7"/>
    </row>
    <row r="29" spans="1:39">
      <c r="B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 s="3"/>
      <c r="Z29" s="3"/>
      <c r="AA29"/>
      <c r="AB29"/>
      <c r="AD29" s="14">
        <v>2034</v>
      </c>
      <c r="AH29" s="7"/>
      <c r="AI29" s="7"/>
      <c r="AJ29" s="7"/>
      <c r="AM29" s="7"/>
    </row>
    <row r="30" spans="1:39">
      <c r="B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 s="3"/>
      <c r="Z30" s="3"/>
      <c r="AA30"/>
      <c r="AB30"/>
      <c r="AD30" s="14">
        <v>2035</v>
      </c>
      <c r="AH30" s="7"/>
      <c r="AI30" s="7"/>
      <c r="AJ30" s="7"/>
      <c r="AM30" s="7"/>
    </row>
    <row r="31" spans="1:39">
      <c r="B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AA31"/>
      <c r="AB31"/>
      <c r="AD31" s="14">
        <v>2036</v>
      </c>
      <c r="AH31" s="7"/>
      <c r="AI31" s="7"/>
      <c r="AJ31" s="7"/>
      <c r="AM31" s="7"/>
    </row>
    <row r="32" spans="1:39">
      <c r="B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AA32"/>
      <c r="AB32"/>
      <c r="AD32" s="14">
        <v>2037</v>
      </c>
      <c r="AH32" s="7"/>
      <c r="AI32" s="7"/>
      <c r="AJ32" s="7"/>
      <c r="AM32" s="7"/>
    </row>
    <row r="33" spans="2:39">
      <c r="B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AA33"/>
      <c r="AB33"/>
      <c r="AD33" s="14">
        <v>2038</v>
      </c>
      <c r="AH33" s="7"/>
      <c r="AI33" s="7"/>
      <c r="AJ33" s="7"/>
      <c r="AM33" s="7"/>
    </row>
    <row r="34" spans="2:39">
      <c r="B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AA34"/>
      <c r="AB34"/>
      <c r="AD34" s="14">
        <v>2039</v>
      </c>
      <c r="AH34" s="7"/>
      <c r="AI34" s="7"/>
      <c r="AJ34" s="7"/>
      <c r="AM34" s="7"/>
    </row>
    <row r="35" spans="2:39">
      <c r="B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AA35"/>
      <c r="AB35"/>
      <c r="AD35" s="14">
        <v>2040</v>
      </c>
      <c r="AH35" s="7"/>
      <c r="AI35" s="7"/>
      <c r="AJ35" s="7"/>
      <c r="AM35" s="7"/>
    </row>
    <row r="36" spans="2:39">
      <c r="B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AA36"/>
      <c r="AB36"/>
      <c r="AD36" s="14">
        <v>2041</v>
      </c>
      <c r="AH36" s="7"/>
      <c r="AI36" s="7"/>
      <c r="AJ36" s="7"/>
      <c r="AM36" s="7"/>
    </row>
    <row r="37" spans="2:39">
      <c r="B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AA37"/>
      <c r="AB37"/>
      <c r="AD37" s="14">
        <v>2042</v>
      </c>
      <c r="AH37" s="7"/>
      <c r="AI37" s="7"/>
      <c r="AJ37" s="7"/>
      <c r="AM37" s="7"/>
    </row>
    <row r="38" spans="2:39">
      <c r="B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AA38"/>
      <c r="AB38"/>
      <c r="AD38" s="14">
        <v>2043</v>
      </c>
      <c r="AH38" s="7"/>
      <c r="AI38" s="7"/>
      <c r="AJ38" s="7"/>
      <c r="AM38" s="7"/>
    </row>
    <row r="39" spans="2:39">
      <c r="B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AA39"/>
      <c r="AB39"/>
      <c r="AD39" s="14">
        <v>2044</v>
      </c>
      <c r="AH39" s="7"/>
      <c r="AI39" s="7"/>
      <c r="AJ39" s="7"/>
      <c r="AM39" s="7"/>
    </row>
    <row r="40" spans="2:39">
      <c r="B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AA40"/>
      <c r="AB40"/>
      <c r="AD40" s="14">
        <v>2045</v>
      </c>
      <c r="AH40" s="7"/>
      <c r="AI40" s="7"/>
      <c r="AJ40" s="7"/>
      <c r="AM40" s="7"/>
    </row>
    <row r="41" spans="2:39">
      <c r="B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AA41"/>
      <c r="AB41"/>
      <c r="AD41" s="14">
        <v>2046</v>
      </c>
      <c r="AH41" s="7"/>
      <c r="AI41" s="7"/>
      <c r="AJ41" s="7"/>
      <c r="AM41" s="7"/>
    </row>
    <row r="42" spans="2:39">
      <c r="B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AA42"/>
      <c r="AB42"/>
      <c r="AD42" s="14">
        <v>2047</v>
      </c>
      <c r="AH42" s="7"/>
      <c r="AI42" s="7"/>
      <c r="AJ42" s="7"/>
      <c r="AM42" s="7"/>
    </row>
    <row r="43" spans="2:39">
      <c r="B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AA43"/>
      <c r="AB43"/>
      <c r="AD43" s="14">
        <v>2048</v>
      </c>
      <c r="AH43" s="7"/>
      <c r="AI43" s="7"/>
      <c r="AJ43" s="7"/>
      <c r="AM43" s="7"/>
    </row>
    <row r="44" spans="2:39">
      <c r="B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AA44"/>
      <c r="AB44"/>
      <c r="AD44" s="14">
        <v>2049</v>
      </c>
      <c r="AH44" s="7"/>
      <c r="AI44" s="7"/>
      <c r="AJ44" s="7"/>
      <c r="AM44" s="7"/>
    </row>
    <row r="45" spans="2:39">
      <c r="B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AA45"/>
      <c r="AB45"/>
      <c r="AD45" s="14">
        <v>2050</v>
      </c>
      <c r="AH45" s="7"/>
      <c r="AI45" s="7"/>
      <c r="AJ45" s="7"/>
      <c r="AM45" s="7"/>
    </row>
    <row r="46" spans="2:39">
      <c r="B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AA46"/>
      <c r="AB46"/>
      <c r="AH46" s="7"/>
      <c r="AI46" s="7"/>
      <c r="AJ46" s="7"/>
    </row>
    <row r="47" spans="2:39">
      <c r="B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AA47"/>
      <c r="AB47"/>
      <c r="AH47" s="7"/>
      <c r="AI47" s="7"/>
      <c r="AJ47" s="7"/>
    </row>
    <row r="48" spans="2:39">
      <c r="B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AA48"/>
      <c r="AB48"/>
      <c r="AH48" s="7"/>
      <c r="AI48" s="7"/>
      <c r="AJ48" s="7"/>
    </row>
    <row r="49" spans="2:36">
      <c r="B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AA49"/>
      <c r="AB49"/>
      <c r="AH49" s="7"/>
      <c r="AI49" s="7"/>
      <c r="AJ49" s="7"/>
    </row>
    <row r="50" spans="2:36">
      <c r="B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AA50"/>
      <c r="AB50"/>
      <c r="AH50" s="7"/>
      <c r="AI50" s="7"/>
      <c r="AJ50" s="7"/>
    </row>
    <row r="51" spans="2:36">
      <c r="B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AA51"/>
      <c r="AB51"/>
      <c r="AH51" s="7"/>
      <c r="AI51" s="7"/>
      <c r="AJ51" s="7"/>
    </row>
    <row r="52" spans="2:36">
      <c r="B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AA52"/>
      <c r="AB52"/>
    </row>
    <row r="53" spans="2:36">
      <c r="B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AA53"/>
      <c r="AB53"/>
    </row>
    <row r="54" spans="2:36">
      <c r="B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AA54"/>
      <c r="AB54"/>
    </row>
    <row r="55" spans="2:36">
      <c r="B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AA55"/>
      <c r="AB55"/>
    </row>
    <row r="56" spans="2:36">
      <c r="B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AA56"/>
      <c r="AB56"/>
    </row>
    <row r="57" spans="2:36">
      <c r="B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AA57"/>
      <c r="AB57"/>
    </row>
    <row r="58" spans="2:36">
      <c r="B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AA58"/>
      <c r="AB58"/>
    </row>
    <row r="59" spans="2:36">
      <c r="B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AA59"/>
      <c r="AB59"/>
    </row>
    <row r="60" spans="2:36">
      <c r="B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AA60"/>
      <c r="AB60"/>
    </row>
    <row r="61" spans="2:36">
      <c r="B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AA61"/>
      <c r="AB61"/>
    </row>
    <row r="62" spans="2:36">
      <c r="B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AA62"/>
      <c r="AB62"/>
    </row>
    <row r="63" spans="2:36">
      <c r="B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AA63"/>
      <c r="AB63"/>
    </row>
    <row r="64" spans="2:36">
      <c r="B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AA64"/>
      <c r="AB64"/>
    </row>
    <row r="65" spans="2:28">
      <c r="B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AA65"/>
      <c r="AB65"/>
    </row>
    <row r="66" spans="2:28">
      <c r="B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AA66"/>
      <c r="AB66"/>
    </row>
    <row r="67" spans="2:28">
      <c r="B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AA67"/>
      <c r="AB67"/>
    </row>
    <row r="68" spans="2:28">
      <c r="B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AA68"/>
      <c r="AB68"/>
    </row>
    <row r="69" spans="2:28">
      <c r="B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AA69"/>
      <c r="AB69"/>
    </row>
    <row r="70" spans="2:28">
      <c r="B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AA70"/>
      <c r="AB70"/>
    </row>
    <row r="71" spans="2:28">
      <c r="B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AA71"/>
      <c r="AB71"/>
    </row>
    <row r="72" spans="2:28"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AA72"/>
      <c r="AB72"/>
    </row>
    <row r="73" spans="2:28"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AA73"/>
      <c r="AB73"/>
    </row>
    <row r="74" spans="2:28"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AA74"/>
      <c r="AB74"/>
    </row>
    <row r="75" spans="2:28"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AA75"/>
      <c r="AB75"/>
    </row>
    <row r="76" spans="2:28"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AA76"/>
      <c r="AB76"/>
    </row>
    <row r="77" spans="2:28"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AA77"/>
      <c r="AB77"/>
    </row>
    <row r="78" spans="2:28"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AA78"/>
      <c r="AB78"/>
    </row>
    <row r="79" spans="2:28"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AA79"/>
      <c r="AB79"/>
    </row>
    <row r="80" spans="2:28"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AA80"/>
      <c r="AB80"/>
    </row>
    <row r="81" spans="5:28"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AA81"/>
      <c r="AB81"/>
    </row>
    <row r="82" spans="5:28"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AA82"/>
      <c r="AB82"/>
    </row>
    <row r="83" spans="5:28"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AA83"/>
      <c r="AB83"/>
    </row>
    <row r="84" spans="5:28"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AA84"/>
      <c r="AB84"/>
    </row>
    <row r="85" spans="5:28"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AA85"/>
      <c r="AB85"/>
    </row>
    <row r="86" spans="5:28"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AA86"/>
      <c r="AB86"/>
    </row>
    <row r="87" spans="5:28"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AA87"/>
      <c r="AB87"/>
    </row>
    <row r="88" spans="5:28"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AA88"/>
      <c r="AB88"/>
    </row>
    <row r="89" spans="5:28"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AA89"/>
      <c r="AB89"/>
    </row>
    <row r="90" spans="5:28"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AA90"/>
      <c r="AB90"/>
    </row>
    <row r="91" spans="5:28"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AA91"/>
      <c r="AB91"/>
    </row>
    <row r="92" spans="5:28"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AA92"/>
      <c r="AB92"/>
    </row>
    <row r="93" spans="5:28"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AA93"/>
      <c r="AB93"/>
    </row>
    <row r="94" spans="5:28"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AA94"/>
      <c r="AB94"/>
    </row>
    <row r="95" spans="5:28"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AA95"/>
      <c r="AB95"/>
    </row>
    <row r="96" spans="5:28"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AA96"/>
      <c r="AB96"/>
    </row>
    <row r="97" spans="5:28"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AA97"/>
      <c r="AB97"/>
    </row>
    <row r="98" spans="5:28"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AA98"/>
      <c r="AB98"/>
    </row>
    <row r="99" spans="5:28"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AA99"/>
      <c r="AB99"/>
    </row>
    <row r="100" spans="5:28"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AA100"/>
      <c r="AB100"/>
    </row>
    <row r="101" spans="5:28"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AA101"/>
      <c r="AB101"/>
    </row>
    <row r="102" spans="5:28"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AA102"/>
      <c r="AB102"/>
    </row>
    <row r="103" spans="5:28"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AA103"/>
      <c r="AB103"/>
    </row>
    <row r="104" spans="5:28"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AA104"/>
      <c r="AB104"/>
    </row>
    <row r="105" spans="5:28"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AA105"/>
      <c r="AB105"/>
    </row>
    <row r="106" spans="5:28"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AA106"/>
      <c r="AB106"/>
    </row>
    <row r="107" spans="5:28"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AA107"/>
      <c r="AB107"/>
    </row>
    <row r="108" spans="5:28"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AA108"/>
      <c r="AB108"/>
    </row>
    <row r="109" spans="5:28"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AA109"/>
      <c r="AB109"/>
    </row>
    <row r="110" spans="5:28"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AA110"/>
      <c r="AB110"/>
    </row>
    <row r="111" spans="5:28"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AA111"/>
      <c r="AB111"/>
    </row>
    <row r="112" spans="5:28"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AA112"/>
      <c r="AB112"/>
    </row>
    <row r="113" spans="5:28"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AA113"/>
      <c r="AB113"/>
    </row>
    <row r="114" spans="5:28"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AA114"/>
      <c r="AB114"/>
    </row>
    <row r="115" spans="5:28"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AA115"/>
      <c r="AB115"/>
    </row>
    <row r="116" spans="5:28"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AA116"/>
      <c r="AB116"/>
    </row>
    <row r="117" spans="5:28"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AA117"/>
      <c r="AB117"/>
    </row>
    <row r="118" spans="5:28"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AA118"/>
      <c r="AB118"/>
    </row>
    <row r="119" spans="5:28"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AA119"/>
      <c r="AB119"/>
    </row>
    <row r="120" spans="5:28"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AA120"/>
      <c r="AB120"/>
    </row>
    <row r="121" spans="5:28"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AA121"/>
      <c r="AB121"/>
    </row>
    <row r="122" spans="5:28"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AA122"/>
      <c r="AB122"/>
    </row>
    <row r="123" spans="5:28"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AA123"/>
      <c r="AB123"/>
    </row>
    <row r="124" spans="5:28"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AA124"/>
      <c r="AB124"/>
    </row>
    <row r="125" spans="5:28"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AA125"/>
      <c r="AB125"/>
    </row>
    <row r="126" spans="5:28"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AA126"/>
      <c r="AB126"/>
    </row>
    <row r="127" spans="5:28"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AA127"/>
      <c r="AB127"/>
    </row>
    <row r="128" spans="5:28"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AA128"/>
      <c r="AB128"/>
    </row>
    <row r="129" spans="5:28"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AA129"/>
      <c r="AB129"/>
    </row>
    <row r="130" spans="5:28"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AA130"/>
      <c r="AB130"/>
    </row>
    <row r="131" spans="5:28"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AA131"/>
      <c r="AB131"/>
    </row>
    <row r="132" spans="5:28"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AA132"/>
      <c r="AB132"/>
    </row>
    <row r="133" spans="5:28"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AA133"/>
      <c r="AB133"/>
    </row>
    <row r="134" spans="5:28"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AA134"/>
      <c r="AB134"/>
    </row>
    <row r="135" spans="5:28"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AA135"/>
      <c r="AB135"/>
    </row>
    <row r="136" spans="5:28"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AA136"/>
      <c r="AB136"/>
    </row>
    <row r="137" spans="5:28"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AA137"/>
      <c r="AB137"/>
    </row>
    <row r="138" spans="5:28"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AA138"/>
      <c r="AB138"/>
    </row>
    <row r="139" spans="5:28"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AA139"/>
      <c r="AB139"/>
    </row>
    <row r="140" spans="5:28"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AA140"/>
      <c r="AB140"/>
    </row>
    <row r="141" spans="5:28"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AA141"/>
      <c r="AB141"/>
    </row>
    <row r="142" spans="5:28"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AA142"/>
      <c r="AB142"/>
    </row>
    <row r="143" spans="5:28"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AA143"/>
      <c r="AB143"/>
    </row>
    <row r="144" spans="5:28"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AA144"/>
      <c r="AB144"/>
    </row>
    <row r="145" spans="5:28"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AA145"/>
      <c r="AB145"/>
    </row>
    <row r="146" spans="5:28"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AA146"/>
      <c r="AB146"/>
    </row>
    <row r="147" spans="5:28"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AA147"/>
      <c r="AB147"/>
    </row>
    <row r="148" spans="5:28"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AA148"/>
      <c r="AB148"/>
    </row>
    <row r="149" spans="5:28"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AA149"/>
      <c r="AB149"/>
    </row>
    <row r="150" spans="5:28"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AA150"/>
      <c r="AB150"/>
    </row>
    <row r="151" spans="5:28"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AA151"/>
      <c r="AB151"/>
    </row>
    <row r="152" spans="5:28"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AA152"/>
      <c r="AB152"/>
    </row>
    <row r="153" spans="5:28"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AA153"/>
      <c r="AB153"/>
    </row>
    <row r="154" spans="5:28"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AA154"/>
      <c r="AB154"/>
    </row>
    <row r="155" spans="5:28"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AA155"/>
      <c r="AB155"/>
    </row>
    <row r="156" spans="5:28"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AA156"/>
      <c r="AB156"/>
    </row>
    <row r="157" spans="5:28"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AA157"/>
      <c r="AB157"/>
    </row>
    <row r="158" spans="5:28"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AA158"/>
      <c r="AB158"/>
    </row>
    <row r="159" spans="5:28"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AA159"/>
      <c r="AB159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41"/>
  <sheetViews>
    <sheetView tabSelected="1" zoomScale="90" zoomScaleNormal="9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25" sqref="A25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59">
      <c r="A1" s="7" t="s">
        <v>197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59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59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59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59" ht="45">
      <c r="A5" s="7" t="s">
        <v>217</v>
      </c>
      <c r="G5" s="8" t="s">
        <v>62</v>
      </c>
      <c r="H5" s="10"/>
      <c r="I5" s="10"/>
      <c r="J5" s="10"/>
      <c r="K5" s="10"/>
      <c r="L5" s="10"/>
      <c r="M5" s="10"/>
      <c r="N5" s="10"/>
      <c r="O5" s="10"/>
      <c r="AZ5" t="s">
        <v>209</v>
      </c>
    </row>
    <row r="6" spans="1:59">
      <c r="A6" s="5">
        <f>SUM(A8:A26)</f>
        <v>10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1"/>
      <c r="K6" s="11"/>
      <c r="L6" s="11"/>
      <c r="M6" s="11"/>
      <c r="N6" s="11"/>
      <c r="O6" s="11"/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SUM(AY8:AY27)</f>
        <v>0</v>
      </c>
    </row>
    <row r="7" spans="1:59" ht="45">
      <c r="A7" s="6" t="s">
        <v>9</v>
      </c>
      <c r="B7" s="2" t="s">
        <v>35</v>
      </c>
      <c r="C7" s="2" t="s">
        <v>194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0">S7+1</f>
        <v>2020</v>
      </c>
      <c r="U7" s="7">
        <f t="shared" si="0"/>
        <v>2021</v>
      </c>
      <c r="V7" s="7">
        <f t="shared" si="0"/>
        <v>2022</v>
      </c>
      <c r="W7" s="7">
        <f t="shared" si="0"/>
        <v>2023</v>
      </c>
      <c r="X7" s="7">
        <f t="shared" si="0"/>
        <v>2024</v>
      </c>
      <c r="Y7" s="7">
        <f t="shared" si="0"/>
        <v>2025</v>
      </c>
      <c r="Z7" s="7">
        <f t="shared" si="0"/>
        <v>2026</v>
      </c>
      <c r="AA7" s="7">
        <f t="shared" si="0"/>
        <v>2027</v>
      </c>
      <c r="AB7" s="7">
        <f t="shared" si="0"/>
        <v>2028</v>
      </c>
      <c r="AC7" s="7">
        <f t="shared" si="0"/>
        <v>2029</v>
      </c>
      <c r="AD7" s="7">
        <f t="shared" si="0"/>
        <v>2030</v>
      </c>
      <c r="AE7" s="7">
        <f t="shared" si="0"/>
        <v>2031</v>
      </c>
      <c r="AF7" s="7">
        <f t="shared" si="0"/>
        <v>2032</v>
      </c>
      <c r="AG7" s="7">
        <f t="shared" si="0"/>
        <v>2033</v>
      </c>
      <c r="AH7" s="7">
        <f t="shared" si="0"/>
        <v>2034</v>
      </c>
      <c r="AI7" s="7">
        <f t="shared" si="0"/>
        <v>2035</v>
      </c>
      <c r="AJ7" s="7">
        <f t="shared" si="0"/>
        <v>2036</v>
      </c>
      <c r="AK7" s="7">
        <f t="shared" si="0"/>
        <v>2037</v>
      </c>
      <c r="AL7" s="7">
        <f t="shared" si="0"/>
        <v>2038</v>
      </c>
      <c r="AM7" s="7">
        <f t="shared" si="0"/>
        <v>2039</v>
      </c>
      <c r="AN7" s="7">
        <f t="shared" si="0"/>
        <v>2040</v>
      </c>
      <c r="AO7" s="7">
        <f t="shared" si="0"/>
        <v>2041</v>
      </c>
      <c r="AP7" s="7">
        <f t="shared" si="0"/>
        <v>2042</v>
      </c>
      <c r="AQ7" s="7">
        <f t="shared" si="0"/>
        <v>2043</v>
      </c>
      <c r="AR7" s="7">
        <f t="shared" si="0"/>
        <v>2044</v>
      </c>
      <c r="AS7" s="7">
        <f t="shared" si="0"/>
        <v>2045</v>
      </c>
      <c r="AT7" s="7">
        <f t="shared" si="0"/>
        <v>2046</v>
      </c>
      <c r="AU7" s="7">
        <f t="shared" si="0"/>
        <v>2047</v>
      </c>
      <c r="AV7" s="7">
        <f t="shared" si="0"/>
        <v>2048</v>
      </c>
      <c r="AW7" s="7">
        <f t="shared" si="0"/>
        <v>2049</v>
      </c>
      <c r="AX7" s="7">
        <f t="shared" si="0"/>
        <v>2050</v>
      </c>
      <c r="AY7" t="s">
        <v>218</v>
      </c>
      <c r="AZ7" t="s">
        <v>210</v>
      </c>
      <c r="BA7" t="s">
        <v>211</v>
      </c>
      <c r="BB7" t="s">
        <v>212</v>
      </c>
      <c r="BC7" t="s">
        <v>213</v>
      </c>
      <c r="BD7" t="s">
        <v>214</v>
      </c>
      <c r="BE7" t="s">
        <v>215</v>
      </c>
      <c r="BF7" t="s">
        <v>216</v>
      </c>
      <c r="BG7" t="s">
        <v>234</v>
      </c>
    </row>
    <row r="8" spans="1:59" s="7" customFormat="1">
      <c r="A8" s="17">
        <v>0</v>
      </c>
      <c r="B8" s="7" t="s">
        <v>220</v>
      </c>
      <c r="C8" s="7" t="s">
        <v>195</v>
      </c>
      <c r="D8" s="7" t="s">
        <v>30</v>
      </c>
      <c r="E8" s="7" t="s">
        <v>204</v>
      </c>
      <c r="F8" s="7">
        <v>1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 t="shared" ref="K8" si="1">INDEX(K$1:K$4,MATCH($H8,$J$1:$J$4,0))</f>
        <v>-1</v>
      </c>
      <c r="L8" s="7">
        <f t="shared" ref="L8:O8" si="2">INDEX(L$1:L$4,MATCH($H8,$J$1:$J$4,0))</f>
        <v>-1</v>
      </c>
      <c r="M8" s="7">
        <f t="shared" si="2"/>
        <v>-1</v>
      </c>
      <c r="N8" s="7">
        <f t="shared" si="2"/>
        <v>1</v>
      </c>
      <c r="O8" s="7">
        <f t="shared" si="2"/>
        <v>-1</v>
      </c>
      <c r="P8" s="7">
        <v>100</v>
      </c>
      <c r="Q8" s="7" t="str">
        <f>B8</f>
        <v>NoPams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</row>
    <row r="9" spans="1:59" s="7" customFormat="1">
      <c r="A9" s="17">
        <v>1</v>
      </c>
      <c r="B9" s="18" t="s">
        <v>221</v>
      </c>
      <c r="C9" s="7" t="s">
        <v>195</v>
      </c>
      <c r="D9" s="7" t="s">
        <v>30</v>
      </c>
      <c r="E9" s="7" t="s">
        <v>204</v>
      </c>
      <c r="F9" s="7">
        <v>0</v>
      </c>
      <c r="G9" s="7">
        <v>0</v>
      </c>
      <c r="H9" s="7" t="s">
        <v>188</v>
      </c>
      <c r="I9" s="7">
        <v>1</v>
      </c>
      <c r="J9" s="7">
        <v>1</v>
      </c>
      <c r="K9" s="7">
        <f t="shared" ref="K9:O26" si="3">INDEX(K$1:K$4,MATCH($H9,$J$1:$J$4,0))</f>
        <v>-1</v>
      </c>
      <c r="L9" s="7">
        <f t="shared" ref="L9:O24" si="4">INDEX(L$1:L$4,MATCH($H9,$J$1:$J$4,0))</f>
        <v>-1</v>
      </c>
      <c r="M9" s="7">
        <f t="shared" si="4"/>
        <v>-1</v>
      </c>
      <c r="N9" s="7">
        <f t="shared" si="4"/>
        <v>1</v>
      </c>
      <c r="O9" s="7">
        <f t="shared" si="4"/>
        <v>-1</v>
      </c>
      <c r="P9" s="7">
        <v>99</v>
      </c>
      <c r="Q9" s="7" t="str">
        <f t="shared" ref="Q9" si="5">B9</f>
        <v>Reference</v>
      </c>
      <c r="AY9" s="7">
        <f t="shared" ref="AY9" si="6">IF(LEN(B9)&gt;30,1,0)</f>
        <v>0</v>
      </c>
      <c r="BC9" s="7">
        <v>1</v>
      </c>
    </row>
    <row r="10" spans="1:59" s="7" customFormat="1">
      <c r="A10" s="17">
        <v>1</v>
      </c>
      <c r="B10" s="18" t="s">
        <v>222</v>
      </c>
      <c r="C10" s="7" t="s">
        <v>195</v>
      </c>
      <c r="D10" s="7" t="s">
        <v>30</v>
      </c>
      <c r="E10" s="7" t="s">
        <v>223</v>
      </c>
      <c r="F10" s="7">
        <v>0</v>
      </c>
      <c r="G10" s="7">
        <v>0</v>
      </c>
      <c r="H10" s="7" t="s">
        <v>188</v>
      </c>
      <c r="I10" s="7">
        <v>1</v>
      </c>
      <c r="J10" s="7">
        <v>1</v>
      </c>
      <c r="K10" s="7">
        <f t="shared" si="3"/>
        <v>-1</v>
      </c>
      <c r="L10" s="7">
        <f t="shared" si="4"/>
        <v>-1</v>
      </c>
      <c r="M10" s="7">
        <f t="shared" si="4"/>
        <v>-1</v>
      </c>
      <c r="N10" s="7">
        <f t="shared" si="4"/>
        <v>1</v>
      </c>
      <c r="O10" s="7">
        <f t="shared" si="4"/>
        <v>-1</v>
      </c>
      <c r="P10" s="7">
        <v>99</v>
      </c>
      <c r="Q10" s="7" t="str">
        <f t="shared" ref="Q10:Q15" si="7">B10</f>
        <v>ForcedCoal</v>
      </c>
      <c r="AY10" s="7">
        <f t="shared" ref="AY10:AY27" si="8">IF(LEN(B10)&gt;30,1,0)</f>
        <v>0</v>
      </c>
      <c r="BC10" s="7">
        <v>1</v>
      </c>
    </row>
    <row r="11" spans="1:59" s="7" customFormat="1">
      <c r="A11" s="17">
        <v>1</v>
      </c>
      <c r="B11" s="18" t="s">
        <v>239</v>
      </c>
      <c r="C11" s="7" t="s">
        <v>195</v>
      </c>
      <c r="D11" s="7" t="s">
        <v>30</v>
      </c>
      <c r="E11" s="7" t="s">
        <v>243</v>
      </c>
      <c r="F11" s="7">
        <v>0</v>
      </c>
      <c r="G11" s="7">
        <v>0</v>
      </c>
      <c r="H11" s="7" t="s">
        <v>188</v>
      </c>
      <c r="I11" s="7">
        <v>1</v>
      </c>
      <c r="J11" s="7">
        <v>1</v>
      </c>
      <c r="K11" s="7">
        <f t="shared" si="3"/>
        <v>-1</v>
      </c>
      <c r="L11" s="7">
        <f t="shared" si="3"/>
        <v>-1</v>
      </c>
      <c r="M11" s="7">
        <f t="shared" si="3"/>
        <v>-1</v>
      </c>
      <c r="N11" s="7">
        <f t="shared" si="3"/>
        <v>1</v>
      </c>
      <c r="O11" s="7">
        <f t="shared" si="3"/>
        <v>-1</v>
      </c>
      <c r="P11" s="7">
        <v>99</v>
      </c>
      <c r="Q11" s="7" t="str">
        <f t="shared" si="7"/>
        <v>Reference-HiExt</v>
      </c>
      <c r="AY11" s="7">
        <f t="shared" si="8"/>
        <v>0</v>
      </c>
      <c r="BC11" s="7">
        <v>1</v>
      </c>
    </row>
    <row r="12" spans="1:59" s="7" customFormat="1">
      <c r="A12" s="17">
        <v>1</v>
      </c>
      <c r="B12" s="18" t="s">
        <v>240</v>
      </c>
      <c r="C12" s="7" t="s">
        <v>195</v>
      </c>
      <c r="D12" s="7" t="s">
        <v>30</v>
      </c>
      <c r="E12" s="7" t="s">
        <v>244</v>
      </c>
      <c r="F12" s="7">
        <v>1</v>
      </c>
      <c r="G12" s="7">
        <v>0</v>
      </c>
      <c r="H12" s="7" t="s">
        <v>188</v>
      </c>
      <c r="I12" s="7">
        <v>1</v>
      </c>
      <c r="J12" s="7">
        <v>1</v>
      </c>
      <c r="K12" s="7">
        <f t="shared" si="3"/>
        <v>-1</v>
      </c>
      <c r="L12" s="7">
        <f t="shared" si="3"/>
        <v>-1</v>
      </c>
      <c r="M12" s="7">
        <f t="shared" si="3"/>
        <v>-1</v>
      </c>
      <c r="N12" s="7">
        <f t="shared" si="3"/>
        <v>1</v>
      </c>
      <c r="O12" s="7">
        <f t="shared" si="3"/>
        <v>-1</v>
      </c>
      <c r="P12" s="7">
        <v>99</v>
      </c>
      <c r="Q12" s="7" t="str">
        <f t="shared" ref="Q12:Q14" si="9">B12</f>
        <v>ForcedCoal-HiExt</v>
      </c>
      <c r="AY12" s="7">
        <f t="shared" ref="AY12:AY14" si="10">IF(LEN(B12)&gt;30,1,0)</f>
        <v>0</v>
      </c>
      <c r="BC12" s="7">
        <v>1</v>
      </c>
    </row>
    <row r="13" spans="1:59" s="7" customFormat="1">
      <c r="A13" s="17">
        <v>1</v>
      </c>
      <c r="B13" s="18" t="s">
        <v>241</v>
      </c>
      <c r="C13" s="7" t="s">
        <v>195</v>
      </c>
      <c r="D13" s="7" t="s">
        <v>30</v>
      </c>
      <c r="E13" s="7" t="s">
        <v>245</v>
      </c>
      <c r="F13" s="7">
        <v>0</v>
      </c>
      <c r="G13" s="7">
        <v>0</v>
      </c>
      <c r="H13" s="7" t="s">
        <v>188</v>
      </c>
      <c r="I13" s="7">
        <v>1</v>
      </c>
      <c r="J13" s="7">
        <v>1</v>
      </c>
      <c r="K13" s="7">
        <f t="shared" si="3"/>
        <v>-1</v>
      </c>
      <c r="L13" s="7">
        <f t="shared" si="3"/>
        <v>-1</v>
      </c>
      <c r="M13" s="7">
        <f t="shared" si="3"/>
        <v>-1</v>
      </c>
      <c r="N13" s="7">
        <f t="shared" si="3"/>
        <v>1</v>
      </c>
      <c r="O13" s="7">
        <f t="shared" si="3"/>
        <v>-1</v>
      </c>
      <c r="P13" s="7">
        <v>99</v>
      </c>
      <c r="Q13" s="7" t="str">
        <f t="shared" si="9"/>
        <v>Reference-OptRE</v>
      </c>
      <c r="AY13" s="7">
        <f t="shared" si="10"/>
        <v>0</v>
      </c>
      <c r="BC13" s="7">
        <v>1</v>
      </c>
    </row>
    <row r="14" spans="1:59" s="7" customFormat="1">
      <c r="A14" s="17">
        <v>1</v>
      </c>
      <c r="B14" s="18" t="s">
        <v>242</v>
      </c>
      <c r="C14" s="7" t="s">
        <v>195</v>
      </c>
      <c r="D14" s="7" t="s">
        <v>30</v>
      </c>
      <c r="E14" s="7" t="s">
        <v>246</v>
      </c>
      <c r="F14" s="7">
        <v>1</v>
      </c>
      <c r="G14" s="7">
        <v>0</v>
      </c>
      <c r="H14" s="7" t="s">
        <v>188</v>
      </c>
      <c r="I14" s="7">
        <v>1</v>
      </c>
      <c r="J14" s="7">
        <v>1</v>
      </c>
      <c r="K14" s="7">
        <f t="shared" si="3"/>
        <v>-1</v>
      </c>
      <c r="L14" s="7">
        <f t="shared" si="3"/>
        <v>-1</v>
      </c>
      <c r="M14" s="7">
        <f t="shared" si="3"/>
        <v>-1</v>
      </c>
      <c r="N14" s="7">
        <f t="shared" si="3"/>
        <v>1</v>
      </c>
      <c r="O14" s="7">
        <f t="shared" si="3"/>
        <v>-1</v>
      </c>
      <c r="P14" s="7">
        <v>99</v>
      </c>
      <c r="Q14" s="7" t="str">
        <f t="shared" si="9"/>
        <v>ForcedCoal-OptRE</v>
      </c>
      <c r="AY14" s="7">
        <f t="shared" si="10"/>
        <v>0</v>
      </c>
      <c r="BC14" s="7">
        <v>1</v>
      </c>
    </row>
    <row r="15" spans="1:59" s="7" customFormat="1">
      <c r="A15" s="17">
        <v>1</v>
      </c>
      <c r="B15" s="18" t="s">
        <v>224</v>
      </c>
      <c r="C15" s="7" t="s">
        <v>195</v>
      </c>
      <c r="D15" s="7" t="s">
        <v>30</v>
      </c>
      <c r="E15" s="7" t="s">
        <v>204</v>
      </c>
      <c r="F15" s="7">
        <v>1</v>
      </c>
      <c r="G15" s="7">
        <v>1</v>
      </c>
      <c r="H15" s="7" t="s">
        <v>188</v>
      </c>
      <c r="I15" s="7">
        <v>1</v>
      </c>
      <c r="J15" s="7">
        <v>1</v>
      </c>
      <c r="K15" s="7">
        <f t="shared" si="3"/>
        <v>-1</v>
      </c>
      <c r="L15" s="7">
        <f t="shared" si="4"/>
        <v>-1</v>
      </c>
      <c r="M15" s="7">
        <f t="shared" si="4"/>
        <v>-1</v>
      </c>
      <c r="N15" s="7">
        <f t="shared" si="4"/>
        <v>1</v>
      </c>
      <c r="O15" s="7">
        <f t="shared" si="4"/>
        <v>-1</v>
      </c>
      <c r="P15" s="7">
        <v>99</v>
      </c>
      <c r="Q15" s="7" t="str">
        <f t="shared" si="7"/>
        <v>Reference-L</v>
      </c>
      <c r="AY15" s="7">
        <f t="shared" si="8"/>
        <v>0</v>
      </c>
      <c r="BC15" s="7">
        <v>1</v>
      </c>
    </row>
    <row r="16" spans="1:59" s="7" customFormat="1">
      <c r="A16" s="17">
        <v>1</v>
      </c>
      <c r="B16" s="18" t="s">
        <v>225</v>
      </c>
      <c r="C16" s="7" t="s">
        <v>195</v>
      </c>
      <c r="D16" s="7" t="s">
        <v>30</v>
      </c>
      <c r="E16" s="7" t="s">
        <v>223</v>
      </c>
      <c r="F16" s="7">
        <v>1</v>
      </c>
      <c r="G16" s="7">
        <v>1</v>
      </c>
      <c r="H16" s="7" t="s">
        <v>188</v>
      </c>
      <c r="I16" s="7">
        <v>1</v>
      </c>
      <c r="J16" s="7">
        <v>1</v>
      </c>
      <c r="K16" s="7">
        <f t="shared" si="3"/>
        <v>-1</v>
      </c>
      <c r="L16" s="7">
        <f t="shared" si="4"/>
        <v>-1</v>
      </c>
      <c r="M16" s="7">
        <f t="shared" si="4"/>
        <v>-1</v>
      </c>
      <c r="N16" s="7">
        <f t="shared" si="4"/>
        <v>1</v>
      </c>
      <c r="O16" s="7">
        <f t="shared" si="4"/>
        <v>-1</v>
      </c>
      <c r="P16" s="7">
        <v>99</v>
      </c>
      <c r="Q16" s="7" t="str">
        <f t="shared" ref="Q16:Q21" si="11">B16</f>
        <v>ForcedCoal-L</v>
      </c>
      <c r="AY16" s="7">
        <f t="shared" ref="AY16:AY21" si="12">IF(LEN(B16)&gt;30,1,0)</f>
        <v>0</v>
      </c>
      <c r="BC16" s="7">
        <v>1</v>
      </c>
    </row>
    <row r="17" spans="1:55" s="7" customFormat="1">
      <c r="A17" s="17">
        <v>0</v>
      </c>
      <c r="B17" s="7" t="s">
        <v>231</v>
      </c>
      <c r="C17" s="7" t="s">
        <v>195</v>
      </c>
      <c r="D17" s="7" t="s">
        <v>30</v>
      </c>
      <c r="E17" s="7" t="s">
        <v>219</v>
      </c>
      <c r="F17" s="7">
        <v>0</v>
      </c>
      <c r="G17" s="7">
        <v>0</v>
      </c>
      <c r="H17" s="7" t="s">
        <v>188</v>
      </c>
      <c r="I17" s="7">
        <v>1</v>
      </c>
      <c r="J17" s="7">
        <v>1</v>
      </c>
      <c r="K17" s="7">
        <f t="shared" ref="K17:O20" si="13">INDEX(K$1:K$4,MATCH($H17,$J$1:$J$4,0))</f>
        <v>-1</v>
      </c>
      <c r="L17" s="7">
        <f t="shared" si="13"/>
        <v>-1</v>
      </c>
      <c r="M17" s="7">
        <f t="shared" si="13"/>
        <v>-1</v>
      </c>
      <c r="N17" s="7">
        <f t="shared" si="13"/>
        <v>1</v>
      </c>
      <c r="O17" s="7">
        <f t="shared" si="13"/>
        <v>-1</v>
      </c>
      <c r="P17" s="7">
        <v>99</v>
      </c>
      <c r="Q17" s="7" t="str">
        <f>B17</f>
        <v>ReferenceIRP</v>
      </c>
      <c r="AY17" s="7">
        <f>IF(LEN(B17)&gt;30,1,0)</f>
        <v>0</v>
      </c>
      <c r="BC17" s="7">
        <v>1</v>
      </c>
    </row>
    <row r="18" spans="1:55" s="7" customFormat="1">
      <c r="A18" s="17">
        <v>0</v>
      </c>
      <c r="B18" s="7" t="s">
        <v>232</v>
      </c>
      <c r="C18" s="7" t="s">
        <v>195</v>
      </c>
      <c r="D18" s="7" t="s">
        <v>30</v>
      </c>
      <c r="E18" s="7" t="s">
        <v>233</v>
      </c>
      <c r="F18" s="7">
        <v>0</v>
      </c>
      <c r="G18" s="7">
        <v>0</v>
      </c>
      <c r="H18" s="7" t="s">
        <v>188</v>
      </c>
      <c r="I18" s="7">
        <v>1</v>
      </c>
      <c r="J18" s="7">
        <v>1</v>
      </c>
      <c r="K18" s="7">
        <f t="shared" si="13"/>
        <v>-1</v>
      </c>
      <c r="L18" s="7">
        <f t="shared" si="13"/>
        <v>-1</v>
      </c>
      <c r="M18" s="7">
        <f t="shared" si="13"/>
        <v>-1</v>
      </c>
      <c r="N18" s="7">
        <f t="shared" si="13"/>
        <v>1</v>
      </c>
      <c r="O18" s="7">
        <f t="shared" si="13"/>
        <v>-1</v>
      </c>
      <c r="P18" s="7">
        <v>99</v>
      </c>
      <c r="Q18" s="7" t="str">
        <f t="shared" ref="Q18" si="14">B18</f>
        <v>ForcedCoalIRP</v>
      </c>
      <c r="AY18" s="7">
        <f t="shared" ref="AY18" si="15">IF(LEN(B18)&gt;30,1,0)</f>
        <v>0</v>
      </c>
      <c r="BC18" s="7">
        <v>1</v>
      </c>
    </row>
    <row r="19" spans="1:55" s="7" customFormat="1">
      <c r="A19" s="17">
        <v>0</v>
      </c>
      <c r="B19" s="7" t="s">
        <v>235</v>
      </c>
      <c r="C19" s="7" t="s">
        <v>195</v>
      </c>
      <c r="D19" s="7" t="s">
        <v>30</v>
      </c>
      <c r="E19" s="7" t="s">
        <v>219</v>
      </c>
      <c r="F19" s="7">
        <v>1</v>
      </c>
      <c r="G19" s="7">
        <v>0</v>
      </c>
      <c r="H19" s="7" t="s">
        <v>188</v>
      </c>
      <c r="I19" s="7">
        <v>1</v>
      </c>
      <c r="J19" s="7">
        <v>1</v>
      </c>
      <c r="K19" s="7">
        <f t="shared" si="13"/>
        <v>-1</v>
      </c>
      <c r="L19" s="7">
        <f t="shared" si="13"/>
        <v>-1</v>
      </c>
      <c r="M19" s="7">
        <f t="shared" si="13"/>
        <v>-1</v>
      </c>
      <c r="N19" s="7">
        <f t="shared" si="13"/>
        <v>1</v>
      </c>
      <c r="O19" s="7">
        <f t="shared" si="13"/>
        <v>-1</v>
      </c>
      <c r="P19" s="7">
        <v>99</v>
      </c>
      <c r="Q19" s="7" t="str">
        <f>B19</f>
        <v>ReferenceIRPNER</v>
      </c>
      <c r="AY19" s="7">
        <f>IF(LEN(B19)&gt;30,1,0)</f>
        <v>0</v>
      </c>
      <c r="BC19" s="7">
        <v>1</v>
      </c>
    </row>
    <row r="20" spans="1:55" s="7" customFormat="1">
      <c r="A20" s="17">
        <v>0</v>
      </c>
      <c r="B20" s="7" t="s">
        <v>236</v>
      </c>
      <c r="C20" s="7" t="s">
        <v>195</v>
      </c>
      <c r="D20" s="7" t="s">
        <v>30</v>
      </c>
      <c r="E20" s="7" t="s">
        <v>233</v>
      </c>
      <c r="F20" s="7">
        <v>0</v>
      </c>
      <c r="G20" s="7">
        <v>0</v>
      </c>
      <c r="H20" s="7" t="s">
        <v>188</v>
      </c>
      <c r="I20" s="7">
        <v>1</v>
      </c>
      <c r="J20" s="7">
        <v>1</v>
      </c>
      <c r="K20" s="7">
        <f t="shared" si="13"/>
        <v>-1</v>
      </c>
      <c r="L20" s="7">
        <f t="shared" si="13"/>
        <v>-1</v>
      </c>
      <c r="M20" s="7">
        <f t="shared" si="13"/>
        <v>-1</v>
      </c>
      <c r="N20" s="7">
        <f t="shared" si="13"/>
        <v>1</v>
      </c>
      <c r="O20" s="7">
        <f t="shared" si="13"/>
        <v>-1</v>
      </c>
      <c r="P20" s="7">
        <v>99</v>
      </c>
      <c r="Q20" s="7" t="str">
        <f t="shared" ref="Q20" si="16">B20</f>
        <v>ForcedCoalIRPNER</v>
      </c>
      <c r="AY20" s="7">
        <f t="shared" ref="AY20" si="17">IF(LEN(B20)&gt;30,1,0)</f>
        <v>0</v>
      </c>
      <c r="BC20" s="7">
        <v>1</v>
      </c>
    </row>
    <row r="21" spans="1:55" s="7" customFormat="1">
      <c r="A21" s="17">
        <v>0</v>
      </c>
      <c r="B21" s="7" t="s">
        <v>227</v>
      </c>
      <c r="C21" s="7" t="s">
        <v>195</v>
      </c>
      <c r="D21" s="7" t="s">
        <v>30</v>
      </c>
      <c r="E21" s="7" t="s">
        <v>204</v>
      </c>
      <c r="F21" s="7">
        <v>1</v>
      </c>
      <c r="G21" s="7">
        <v>0</v>
      </c>
      <c r="H21" s="7" t="s">
        <v>188</v>
      </c>
      <c r="I21" s="7">
        <v>1</v>
      </c>
      <c r="J21" s="7">
        <v>1</v>
      </c>
      <c r="K21" s="7">
        <f t="shared" si="3"/>
        <v>-1</v>
      </c>
      <c r="L21" s="7">
        <f t="shared" si="4"/>
        <v>-1</v>
      </c>
      <c r="M21" s="7">
        <f t="shared" si="4"/>
        <v>-1</v>
      </c>
      <c r="N21" s="7">
        <f t="shared" si="4"/>
        <v>1</v>
      </c>
      <c r="O21" s="7">
        <f t="shared" si="4"/>
        <v>-1</v>
      </c>
      <c r="P21" s="7">
        <v>7</v>
      </c>
      <c r="Q21" s="7" t="str">
        <f t="shared" si="11"/>
        <v>Reference350</v>
      </c>
      <c r="AY21" s="7">
        <f t="shared" si="12"/>
        <v>0</v>
      </c>
      <c r="BC21" s="7">
        <v>1</v>
      </c>
    </row>
    <row r="22" spans="1:55" s="7" customFormat="1">
      <c r="A22" s="17">
        <v>0</v>
      </c>
      <c r="B22" s="7" t="s">
        <v>226</v>
      </c>
      <c r="C22" s="7" t="s">
        <v>195</v>
      </c>
      <c r="D22" s="7" t="s">
        <v>30</v>
      </c>
      <c r="E22" s="7" t="s">
        <v>223</v>
      </c>
      <c r="F22" s="7">
        <v>1</v>
      </c>
      <c r="G22" s="7">
        <v>0</v>
      </c>
      <c r="H22" s="7" t="s">
        <v>188</v>
      </c>
      <c r="I22" s="7">
        <v>1</v>
      </c>
      <c r="J22" s="7">
        <v>1</v>
      </c>
      <c r="K22" s="7">
        <f t="shared" si="3"/>
        <v>-1</v>
      </c>
      <c r="L22" s="7">
        <f t="shared" si="4"/>
        <v>-1</v>
      </c>
      <c r="M22" s="7">
        <f t="shared" si="4"/>
        <v>-1</v>
      </c>
      <c r="N22" s="7">
        <f t="shared" si="4"/>
        <v>1</v>
      </c>
      <c r="O22" s="7">
        <f t="shared" si="4"/>
        <v>-1</v>
      </c>
      <c r="P22" s="7">
        <v>7</v>
      </c>
      <c r="Q22" s="7" t="str">
        <f t="shared" ref="Q22:Q23" si="18">B22</f>
        <v>ForcedCoal350</v>
      </c>
      <c r="AY22" s="7">
        <f t="shared" ref="AY22:AY23" si="19">IF(LEN(B22)&gt;30,1,0)</f>
        <v>0</v>
      </c>
      <c r="BC22" s="7">
        <v>1</v>
      </c>
    </row>
    <row r="23" spans="1:55" s="7" customFormat="1">
      <c r="A23" s="17">
        <v>1</v>
      </c>
      <c r="B23" s="18" t="s">
        <v>228</v>
      </c>
      <c r="C23" s="7" t="s">
        <v>195</v>
      </c>
      <c r="D23" s="7" t="s">
        <v>30</v>
      </c>
      <c r="E23" s="7" t="s">
        <v>208</v>
      </c>
      <c r="F23" s="7">
        <v>1</v>
      </c>
      <c r="G23" s="7">
        <v>0</v>
      </c>
      <c r="H23" s="7" t="s">
        <v>189</v>
      </c>
      <c r="I23" s="7">
        <v>1</v>
      </c>
      <c r="J23" s="7">
        <v>1</v>
      </c>
      <c r="K23" s="7">
        <f t="shared" si="3"/>
        <v>2</v>
      </c>
      <c r="L23" s="7">
        <f t="shared" si="4"/>
        <v>2</v>
      </c>
      <c r="M23" s="7">
        <f t="shared" si="4"/>
        <v>1</v>
      </c>
      <c r="N23" s="7">
        <f t="shared" si="4"/>
        <v>2</v>
      </c>
      <c r="O23" s="7">
        <f t="shared" si="4"/>
        <v>1</v>
      </c>
      <c r="P23" s="7">
        <v>7</v>
      </c>
      <c r="Q23" s="7" t="str">
        <f t="shared" si="18"/>
        <v>ReferencePAMS350</v>
      </c>
      <c r="AY23" s="7">
        <f t="shared" si="19"/>
        <v>0</v>
      </c>
      <c r="BC23" s="7">
        <v>1</v>
      </c>
    </row>
    <row r="24" spans="1:55" s="7" customFormat="1">
      <c r="A24" s="17">
        <v>1</v>
      </c>
      <c r="B24" s="18" t="s">
        <v>229</v>
      </c>
      <c r="C24" s="7" t="s">
        <v>195</v>
      </c>
      <c r="D24" s="7" t="s">
        <v>30</v>
      </c>
      <c r="E24" s="7" t="s">
        <v>230</v>
      </c>
      <c r="F24" s="7">
        <v>1</v>
      </c>
      <c r="G24" s="7">
        <v>0</v>
      </c>
      <c r="H24" s="7" t="s">
        <v>189</v>
      </c>
      <c r="I24" s="7">
        <v>1</v>
      </c>
      <c r="J24" s="7">
        <v>1</v>
      </c>
      <c r="K24" s="7">
        <f t="shared" si="3"/>
        <v>2</v>
      </c>
      <c r="L24" s="7">
        <f t="shared" si="4"/>
        <v>2</v>
      </c>
      <c r="M24" s="7">
        <f t="shared" si="4"/>
        <v>1</v>
      </c>
      <c r="N24" s="7">
        <f t="shared" si="4"/>
        <v>2</v>
      </c>
      <c r="O24" s="7">
        <f t="shared" si="4"/>
        <v>1</v>
      </c>
      <c r="P24" s="7">
        <v>7</v>
      </c>
      <c r="Q24" s="7" t="str">
        <f t="shared" ref="Q24:Q25" si="20">B24</f>
        <v>ForcedCoalPAMS350</v>
      </c>
      <c r="AY24" s="7">
        <f t="shared" ref="AY24:AY25" si="21">IF(LEN(B24)&gt;30,1,0)</f>
        <v>0</v>
      </c>
      <c r="BC24" s="7">
        <v>1</v>
      </c>
    </row>
    <row r="25" spans="1:55" s="7" customFormat="1">
      <c r="A25" s="17">
        <v>0</v>
      </c>
      <c r="B25" s="7" t="s">
        <v>237</v>
      </c>
      <c r="C25" s="7" t="s">
        <v>195</v>
      </c>
      <c r="D25" s="7" t="s">
        <v>30</v>
      </c>
      <c r="E25" s="7" t="s">
        <v>208</v>
      </c>
      <c r="F25" s="7">
        <v>1</v>
      </c>
      <c r="G25" s="7">
        <v>0</v>
      </c>
      <c r="H25" s="7" t="s">
        <v>188</v>
      </c>
      <c r="I25" s="7">
        <v>1</v>
      </c>
      <c r="J25" s="7">
        <v>1</v>
      </c>
      <c r="K25" s="7">
        <f t="shared" si="3"/>
        <v>-1</v>
      </c>
      <c r="L25" s="7">
        <f t="shared" si="3"/>
        <v>-1</v>
      </c>
      <c r="M25" s="7">
        <f t="shared" si="3"/>
        <v>-1</v>
      </c>
      <c r="N25" s="7">
        <f t="shared" si="3"/>
        <v>1</v>
      </c>
      <c r="O25" s="7">
        <f t="shared" si="3"/>
        <v>-1</v>
      </c>
      <c r="P25" s="7">
        <v>7</v>
      </c>
      <c r="Q25" s="7" t="str">
        <f t="shared" si="20"/>
        <v>ReferencePAMS350NER</v>
      </c>
      <c r="AY25" s="7">
        <f t="shared" si="21"/>
        <v>0</v>
      </c>
      <c r="BC25" s="7">
        <v>1</v>
      </c>
    </row>
    <row r="26" spans="1:55" s="7" customFormat="1">
      <c r="A26" s="17">
        <v>0</v>
      </c>
      <c r="B26" s="7" t="s">
        <v>238</v>
      </c>
      <c r="C26" s="7" t="s">
        <v>195</v>
      </c>
      <c r="D26" s="7" t="s">
        <v>30</v>
      </c>
      <c r="E26" s="7" t="s">
        <v>230</v>
      </c>
      <c r="F26" s="7">
        <v>1</v>
      </c>
      <c r="G26" s="7">
        <v>0</v>
      </c>
      <c r="H26" s="7" t="s">
        <v>188</v>
      </c>
      <c r="I26" s="7">
        <v>1</v>
      </c>
      <c r="J26" s="7">
        <v>1</v>
      </c>
      <c r="K26" s="7">
        <f t="shared" si="3"/>
        <v>-1</v>
      </c>
      <c r="L26" s="7">
        <f t="shared" si="3"/>
        <v>-1</v>
      </c>
      <c r="M26" s="7">
        <f t="shared" si="3"/>
        <v>-1</v>
      </c>
      <c r="N26" s="7">
        <f t="shared" si="3"/>
        <v>1</v>
      </c>
      <c r="O26" s="7">
        <f t="shared" si="3"/>
        <v>-1</v>
      </c>
      <c r="P26" s="7">
        <v>7</v>
      </c>
      <c r="Q26" s="7" t="str">
        <f t="shared" ref="Q26" si="22">B26</f>
        <v>ForcedCoalPAMS350NER</v>
      </c>
      <c r="AY26" s="7">
        <f t="shared" ref="AY26" si="23">IF(LEN(B26)&gt;30,1,0)</f>
        <v>0</v>
      </c>
      <c r="BC26" s="7">
        <v>1</v>
      </c>
    </row>
    <row r="27" spans="1:55">
      <c r="AY27" s="7">
        <f t="shared" si="8"/>
        <v>0</v>
      </c>
    </row>
    <row r="28" spans="1:55">
      <c r="A28" s="19"/>
    </row>
    <row r="29" spans="1:55">
      <c r="A29" s="19"/>
    </row>
    <row r="30" spans="1:55">
      <c r="A30" s="19"/>
    </row>
    <row r="31" spans="1:55">
      <c r="A31" s="19"/>
    </row>
    <row r="32" spans="1:55">
      <c r="A32" s="19"/>
    </row>
    <row r="33" spans="1:1">
      <c r="A33" s="19"/>
    </row>
    <row r="34" spans="1:1">
      <c r="A34" s="19"/>
    </row>
    <row r="35" spans="1:1">
      <c r="A35" s="19"/>
    </row>
    <row r="36" spans="1:1">
      <c r="A36" s="19"/>
    </row>
    <row r="37" spans="1:1">
      <c r="A37" s="19"/>
    </row>
    <row r="38" spans="1:1">
      <c r="A38" s="19"/>
    </row>
    <row r="39" spans="1:1">
      <c r="A39" s="19"/>
    </row>
    <row r="40" spans="1:1">
      <c r="A40" s="19"/>
    </row>
    <row r="41" spans="1:1">
      <c r="A41" s="19"/>
    </row>
  </sheetData>
  <autoFilter ref="A7:BF27" xr:uid="{CE354B85-33A5-4362-B972-29CF2C778B22}"/>
  <mergeCells count="1">
    <mergeCell ref="R6:AE6"/>
  </mergeCells>
  <phoneticPr fontId="34" type="noConversion"/>
  <conditionalFormatting sqref="A27:A1048576 A1:A7">
    <cfRule type="iconSet" priority="510">
      <iconSet>
        <cfvo type="percent" val="0"/>
        <cfvo type="percent" val="33"/>
        <cfvo type="percent" val="67"/>
      </iconSet>
    </cfRule>
  </conditionalFormatting>
  <conditionalFormatting sqref="A26">
    <cfRule type="iconSet" priority="10">
      <iconSet>
        <cfvo type="percent" val="0"/>
        <cfvo type="percent" val="33"/>
        <cfvo type="percent" val="67"/>
      </iconSet>
    </cfRule>
  </conditionalFormatting>
  <conditionalFormatting sqref="A26">
    <cfRule type="iconSet" priority="9">
      <iconSet>
        <cfvo type="percent" val="0"/>
        <cfvo type="percent" val="33"/>
        <cfvo type="percent" val="67"/>
      </iconSet>
    </cfRule>
  </conditionalFormatting>
  <conditionalFormatting sqref="A8:A26">
    <cfRule type="iconSet" priority="1">
      <iconSet>
        <cfvo type="percent" val="0"/>
        <cfvo type="percent" val="33"/>
        <cfvo type="percent" val="67"/>
      </iconSet>
    </cfRule>
  </conditionalFormatting>
  <conditionalFormatting sqref="A8:A26">
    <cfRule type="iconSet" priority="519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26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2021-09-02T09:57:51Z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