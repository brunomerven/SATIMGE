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9874CB3F-AE9F-4959-8177-B5E6620D16D6}" xr6:coauthVersionLast="47" xr6:coauthVersionMax="47" xr10:uidLastSave="{00000000-0000-0000-0000-000000000000}"/>
  <bookViews>
    <workbookView xWindow="-120" yWindow="-120" windowWidth="29040" windowHeight="15840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Scenarios!$A$9:$BH$76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460" r:id="rId9"/>
    <pivotCache cacheId="146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" i="4" l="1"/>
  <c r="C18" i="4" l="1"/>
  <c r="A6" i="33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Fadiel</author>
    <author>tc={B5C73B40-C010-44FC-A261-0B3A21B3ECB2}</author>
    <author>tc={E93329DC-B562-40B2-AE61-5E1638C828DB}</author>
    <author>tc={1E8D5750-AB77-4E8C-9CED-EB382C2605DC}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tc={5339361E-9549-475B-906E-A3B74FCE10E9}</author>
    <author>tc={F8D04539-B167-435E-92BD-A52C8FD12C50}</author>
    <author>tc={7A9E32FD-5EBA-4047-9D71-8B1B1311F04B}</author>
    <author>tc={4DD21D2A-3E6D-4FF1-9945-B1C066CEF212}</author>
    <author>tc={7D40445D-4074-4C20-80C3-E8E278559197}</author>
    <author>tc={E99C0E29-E7B8-476F-A7AD-A7A8D75D28A9}</author>
    <author>tc={E96716FF-CE27-485D-8A10-C9E733DB6A86}</author>
    <author>tc={4D2EFD36-0D4D-4BBC-84F9-6656BEE0624A}</author>
    <author>tc={D0494433-42D8-4479-9B9E-47F973684D64}</author>
    <author>tc={774138A9-CA65-4FA1-8925-2FC98647A1D8}</author>
    <author>tc={2B2E9494-0FF5-4BE3-917A-AB0CA3686EEF}</author>
    <author>tc={F7455BD2-C409-4DE2-B630-94650AF5B1A8}</author>
    <author>tc={D603493A-7273-4879-85CD-3C7962CCF3C6}</author>
    <author>tc={40FD5F70-AE3C-4C12-995B-F22CD38A59C3}</author>
    <author>tc={3D999BBF-4D0F-4FEC-AE00-EC572EA512F9}</author>
    <author>tc={F451622A-C364-4F1C-882A-E0B9970B0FA3}</author>
    <author>tc={44F43EB0-7C19-4B54-BD76-854AEA9594F0}</author>
    <author>tc={72DAE713-F64D-4A4B-92A3-6E290B1C08AC}</author>
    <author>tc={8DC95888-1B09-4C2A-8946-9480A3A0A5C3}</author>
    <author>tc={6DB6B67F-BF22-490F-8851-F4A3280BA24B}</author>
    <author>tc={DD0D03D5-0E45-47B1-BB19-3D43552EF1AF}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P15" authorId="6" shapeId="0" xr:uid="{22E6F2FC-D861-4562-98A8-7F93D98C219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The 6.5 GT is 8Gt including waste and afolu.</t>
        </r>
      </text>
    </comment>
    <comment ref="D16" authorId="7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E93329DC-B562-40B2-AE61-5E1638C828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1E8D5750-AB77-4E8C-9CED-EB382C2605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9" authorId="6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9" authorId="10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9" authorId="6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20" authorId="6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20" authorId="11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20" authorId="6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21" authorId="12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5339361E-9549-475B-906E-A3B74FCE10E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F8D04539-B167-435E-92BD-A52C8FD12C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7" shapeId="0" xr:uid="{7A9E32FD-5EBA-4047-9D71-8B1B1311F0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8" shapeId="0" xr:uid="{4DD21D2A-3E6D-4FF1-9945-B1C066CEF2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9" shapeId="0" xr:uid="{7D40445D-4074-4C20-80C3-E8E27855919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20" shapeId="0" xr:uid="{E99C0E29-E7B8-476F-A7AD-A7A8D75D28A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1" shapeId="0" xr:uid="{E96716FF-CE27-485D-8A10-C9E733DB6A8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2" shapeId="0" xr:uid="{4D2EFD36-0D4D-4BBC-84F9-6656BEE0624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3" shapeId="0" xr:uid="{D0494433-42D8-4479-9B9E-47F973684D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4" shapeId="0" xr:uid="{774138A9-CA65-4FA1-8925-2FC98647A1D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5" shapeId="0" xr:uid="{2B2E9494-0FF5-4BE3-917A-AB0CA3686EE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6" shapeId="0" xr:uid="{F7455BD2-C409-4DE2-B630-94650AF5B1A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7" shapeId="0" xr:uid="{D603493A-7273-4879-85CD-3C7962CCF3C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8" shapeId="0" xr:uid="{40FD5F70-AE3C-4C12-995B-F22CD38A59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9" shapeId="0" xr:uid="{3D999BBF-4D0F-4FEC-AE00-EC572EA512F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30" shapeId="0" xr:uid="{F451622A-C364-4F1C-882A-E0B9970B0FA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1" shapeId="0" xr:uid="{44F43EB0-7C19-4B54-BD76-854AEA9594F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2" shapeId="0" xr:uid="{72DAE713-F64D-4A4B-92A3-6E290B1C08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3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4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35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5" authorId="36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76" authorId="37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<sst xmlns="http://schemas.openxmlformats.org/spreadsheetml/2006/main" count="572" uniqueCount="250">
  <si>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</si>
  <si>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</si>
  <si>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</si>
  <si>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</si>
  <si>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</si>
  <si>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</si>
  <si>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</si>
  <si>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</si>
  <si>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</si>
  <si>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</si>
  <si>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</si>
  <si>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</si>
  <si>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</si>
  <si>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</si>
  <si>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</si>
  <si>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</si>
  <si>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</si>
  <si>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</si>
  <si>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</si>
  <si>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</si>
  <si>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</si>
  <si>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</si>
  <si>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</si>
  <si>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</si>
  <si>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</si>
  <si>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</si>
  <si>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</si>
  <si>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</si>
  <si>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</si>
  <si>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</si>
  <si>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</si>
  <si>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</si>
  <si>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</si>
  <si>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</si>
  <si>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</si>
  <si>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</si>
  <si>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</si>
  <si>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</si>
  <si>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</si>
  <si>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</si>
  <si>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</si>
  <si>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</si>
  <si>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</si>
  <si>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</si>
  <si>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</si>
  <si>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</si>
  <si>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</si>
  <si>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</si>
  <si>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</si>
  <si>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</si>
  <si>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</si>
  <si>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</si>
  <si>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</si>
  <si>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</si>
  <si>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</si>
  <si>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</si>
  <si>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</si>
  <si>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</si>
  <si>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</si>
  <si>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</si>
  <si>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</si>
  <si>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</si>
  <si>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</si>
  <si>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</si>
  <si>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</si>
  <si>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</si>
  <si>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</si>
  <si>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</si>
  <si>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</si>
  <si>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</si>
  <si>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</si>
  <si>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</si>
  <si>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</si>
  <si>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</si>
  <si>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</si>
  <si>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</si>
  <si>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</si>
  <si>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</si>
  <si>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</si>
  <si>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</si>
  <si>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</si>
  <si>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</si>
  <si>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</si>
  <si>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</si>
  <si>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</si>
  <si>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</si>
  <si>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</si>
  <si>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</si>
  <si>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</si>
  <si>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</si>
  <si>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</si>
  <si>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</si>
  <si>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</si>
  <si>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</si>
  <si>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</si>
  <si>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</si>
  <si>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</si>
  <si>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</si>
  <si>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</si>
  <si>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</si>
  <si>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</si>
  <si>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</si>
  <si>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</si>
  <si>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</si>
  <si>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</si>
  <si>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</si>
  <si>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</si>
  <si>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</si>
  <si>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</si>
  <si>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</si>
  <si>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</si>
  <si>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</si>
  <si>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</si>
  <si>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</si>
  <si>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</si>
  <si>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</si>
  <si>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</si>
  <si>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</si>
  <si>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</si>
  <si>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</si>
  <si>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</si>
  <si>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</si>
  <si>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</si>
  <si>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</si>
  <si>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</si>
  <si>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</si>
  <si>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</si>
  <si>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</si>
  <si>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</si>
  <si>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</si>
  <si>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</si>
  <si>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</si>
  <si>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</si>
  <si>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</si>
  <si>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</si>
  <si>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</si>
  <si>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</si>
  <si>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</si>
  <si>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</si>
  <si>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</si>
  <si>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</si>
  <si>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</si>
  <si>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</si>
  <si>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</si>
  <si>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</si>
  <si>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</si>
  <si>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</si>
  <si>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</si>
  <si>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</si>
  <si>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</si>
  <si>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</si>
  <si>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</si>
  <si>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</si>
  <si>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</si>
  <si>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</si>
  <si>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</si>
  <si>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</si>
  <si>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</si>
  <si>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</si>
  <si>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</si>
  <si>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</si>
  <si>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</si>
  <si>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</si>
  <si>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</si>
  <si>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</si>
  <si>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</si>
  <si>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</si>
  <si>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</si>
  <si>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</si>
  <si>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</si>
  <si>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</si>
  <si>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</si>
  <si>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</si>
  <si>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</si>
  <si>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</si>
  <si>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</si>
  <si>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</si>
  <si>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</si>
  <si>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</si>
  <si>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</si>
  <si>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</si>
  <si>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</si>
  <si>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</si>
  <si>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</si>
  <si>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</si>
  <si>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</si>
  <si>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</si>
  <si>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</si>
  <si>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</si>
  <si>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</si>
  <si>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</si>
  <si>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</si>
  <si>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</si>
  <si>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</si>
  <si>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</si>
  <si>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</si>
  <si>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</si>
  <si>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</si>
  <si>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</si>
  <si>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</si>
  <si>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</si>
  <si>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</si>
  <si>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</si>
  <si>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</si>
  <si>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</si>
  <si>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</si>
  <si>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</si>
  <si>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</si>
  <si>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</si>
  <si>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</si>
  <si>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</si>
  <si>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</si>
  <si>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</si>
  <si>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</si>
  <si>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</si>
  <si>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</si>
  <si>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</si>
  <si>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</si>
  <si>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</si>
  <si>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</si>
  <si>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</si>
  <si>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</si>
  <si>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</si>
  <si>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NZ-45WE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</si>
  <si>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</si>
  <si>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</si>
  <si>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</si>
  <si>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</si>
  <si>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</si>
  <si>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</si>
  <si>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</si>
  <si>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0RG_NZ20_7_WE</t>
  </si>
  <si>
    <t>0RG_NZ45_6_WE</t>
  </si>
  <si>
    <t>0RG_NOPAMS_REF_WE</t>
  </si>
  <si>
    <t>NOPAMSWE</t>
  </si>
  <si>
    <t>0RG_NZ20_8_NoH2</t>
  </si>
  <si>
    <t>0RG_NZ20_8_WE_NoH2</t>
  </si>
  <si>
    <t>NZ-20NENH</t>
  </si>
  <si>
    <t>NZ-20WENH</t>
  </si>
  <si>
    <t>CP20NEWH</t>
  </si>
  <si>
    <t>0RG_CPL20_U_NE</t>
  </si>
  <si>
    <t>0RG_CPM20_9_NE</t>
  </si>
  <si>
    <t>0RG_NZ20_8</t>
  </si>
  <si>
    <t>0RG_NZ20_8_WE</t>
  </si>
  <si>
    <t>EB_Fix_2022</t>
  </si>
  <si>
    <t>NZ-20WE-T</t>
  </si>
  <si>
    <t>EB_Fix_2022_wExports</t>
  </si>
  <si>
    <t>0RG_NZ20_9</t>
  </si>
  <si>
    <t>SATIM Active</t>
  </si>
  <si>
    <t>TTIMES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</si>
</sst>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3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Source Sans Pro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718.405036342592" createdVersion="6" refreshedVersion="8" minRefreshableVersion="3" recordCount="82" xr:uid="{C0EB43E8-6CC6-4DE4-B7F1-02B09F7BA69A}">
  <cacheSource type="worksheet">
    <worksheetSource ref="A9:P124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20_9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32">
        <s v="NOPAMSREF"/>
        <s v="NOPAMSWE"/>
        <s v="NZ-20WE-T"/>
        <s v="NZ-20WE"/>
        <s v="NZ-20NENH"/>
        <s v="NZ-20WENH"/>
        <s v="NZ-20NE"/>
        <s v="CP20NEWH"/>
        <s v="NZ-45WE"/>
        <m/>
        <s v="LPAMSFC" u="1"/>
        <s v="NZ-20NELD" u="1"/>
        <s v="CPAMSREPROGHG" u="1"/>
        <s v="NZ-CO2S_20" u="1"/>
        <s v="NOPAMSFGDA" u="1"/>
        <s v="NZ-45NE" u="1"/>
        <s v="CO2ACAP350" u="1"/>
        <s v="NZ-20NE-08" u="1"/>
        <s v="NOPAMS_LEAF" u="1"/>
        <s v="NOPAMSCAPCR2" u="1"/>
        <s v="CPM20NE" u="1"/>
        <s v="NOPAMSCAP2" u="1"/>
        <s v="NZ-REF-01P" u="1"/>
        <s v="NOPAMSCAPOC" u="1"/>
        <s v="NZ-20WE-TMP" u="1"/>
        <s v="NOPAMSFCHG" u="1"/>
        <s v="IRPR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NZ-45_IP_NE" u="1"/>
        <s v="LPAMS" u="1"/>
        <s v="EECAP" u="1"/>
        <s v="NZ-CO2S_20_NE" u="1"/>
        <s v="NOPAMCAPIRPL" u="1"/>
        <s v="CPAMSREPROGTG" u="1"/>
        <s v="CPAMSRETG" u="1"/>
        <s v="NOPAMSREF1H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OPAMS_T" u="1"/>
        <s v="NZ-20WE-08" u="1"/>
        <s v="NZ-REF-25P" u="1"/>
        <s v="NOPAMSRE_LE" u="1"/>
        <s v="IRP-25P" u="1"/>
        <s v="HPAMSREPROG" u="1"/>
        <s v="NOPAMCAPIRPN" u="1"/>
        <s v="HPAMSIRP" u="1"/>
        <s v="NZ-CO2S_TEST" u="1"/>
        <s v="IRPRE-05P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PAMSREF" u="1"/>
        <s v="NOPAMS_EXP" u="1"/>
        <s v="NZ-20WENH-08" u="1"/>
        <s v="NOPAMS_NF" u="1"/>
        <s v="NZ-20_IP_WE" u="1"/>
        <s v="NOPAMSCAPFCH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718.405042592596" createdVersion="6" refreshedVersion="8" minRefreshableVersion="3" recordCount="82" xr:uid="{D229C3DF-142A-4D15-BB2C-2EA205AB0203}">
  <cacheSource type="worksheet">
    <worksheetSource ref="A9:P125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20_9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0"/>
    <n v="1"/>
    <s v="NZ_nopams_20afolu"/>
    <n v="0"/>
    <n v="0"/>
    <n v="-1"/>
    <n v="-1"/>
    <n v="-1"/>
    <n v="1"/>
    <n v="4"/>
    <n v="100"/>
  </r>
  <r>
    <n v="0"/>
    <x v="4"/>
    <s v="yes tested"/>
    <x v="0"/>
    <x v="3"/>
    <n v="1"/>
    <n v="1"/>
    <s v="NZ_nopams_20afolu"/>
    <n v="1"/>
    <n v="1"/>
    <n v="-1"/>
    <n v="-1"/>
    <n v="-1"/>
    <n v="1"/>
    <n v="4"/>
    <n v="5.4793989999999999"/>
  </r>
  <r>
    <n v="0"/>
    <x v="5"/>
    <s v="yes tested"/>
    <x v="0"/>
    <x v="4"/>
    <n v="1"/>
    <n v="1"/>
    <s v="NZ_nopams_20afolu"/>
    <n v="1"/>
    <n v="1"/>
    <n v="-1"/>
    <n v="-1"/>
    <n v="-1"/>
    <n v="1"/>
    <n v="4"/>
    <n v="6.4793989999999999"/>
  </r>
  <r>
    <n v="0"/>
    <x v="6"/>
    <s v="yes tested"/>
    <x v="0"/>
    <x v="5"/>
    <n v="1"/>
    <n v="1"/>
    <s v="NZ_nopams_20afolu"/>
    <n v="1"/>
    <n v="1"/>
    <n v="-1"/>
    <n v="-1"/>
    <n v="-1"/>
    <n v="1"/>
    <n v="4"/>
    <n v="6.4793989999999999"/>
  </r>
  <r>
    <n v="0"/>
    <x v="7"/>
    <s v="yes tested"/>
    <x v="0"/>
    <x v="6"/>
    <n v="1"/>
    <n v="1"/>
    <s v="NZ_nopams_20afolu"/>
    <n v="1"/>
    <n v="1"/>
    <n v="-1"/>
    <n v="-1"/>
    <n v="-1"/>
    <n v="1"/>
    <n v="4"/>
    <n v="6.4793989999999999"/>
  </r>
  <r>
    <n v="0"/>
    <x v="8"/>
    <s v="yes tested"/>
    <x v="0"/>
    <x v="3"/>
    <n v="1"/>
    <n v="1"/>
    <s v="NZ_nopams_20afolu"/>
    <n v="1"/>
    <n v="1"/>
    <n v="-1"/>
    <n v="-1"/>
    <n v="-1"/>
    <n v="1"/>
    <n v="4"/>
    <n v="6.4793989999999999"/>
  </r>
  <r>
    <n v="0"/>
    <x v="9"/>
    <s v="yes tested"/>
    <x v="0"/>
    <x v="7"/>
    <n v="1"/>
    <n v="1"/>
    <s v="NZ_nopams_20afolu"/>
    <n v="1"/>
    <n v="1"/>
    <n v="-1"/>
    <n v="-1"/>
    <n v="-1"/>
    <n v="1"/>
    <n v="4"/>
    <n v="7.75"/>
  </r>
  <r>
    <n v="0"/>
    <x v="10"/>
    <s v="yes tested"/>
    <x v="0"/>
    <x v="7"/>
    <n v="0"/>
    <n v="1"/>
    <s v="NZ_nopams_20afolu"/>
    <n v="0"/>
    <n v="0"/>
    <n v="-1"/>
    <n v="-1"/>
    <n v="-1"/>
    <n v="1"/>
    <n v="4"/>
    <n v="100"/>
  </r>
  <r>
    <n v="0"/>
    <x v="11"/>
    <s v="yes tested"/>
    <x v="0"/>
    <x v="6"/>
    <n v="1"/>
    <n v="1"/>
    <s v="NZ_nopams_20afolu"/>
    <n v="1"/>
    <n v="1"/>
    <n v="-1"/>
    <n v="-1"/>
    <n v="-1"/>
    <n v="1"/>
    <n v="4"/>
    <n v="100"/>
  </r>
  <r>
    <n v="0"/>
    <x v="12"/>
    <s v="yes tested"/>
    <x v="0"/>
    <x v="3"/>
    <n v="1"/>
    <n v="1"/>
    <s v="NZ_nopams_20afolu"/>
    <n v="1"/>
    <n v="1"/>
    <n v="-1"/>
    <n v="-1"/>
    <n v="-1"/>
    <n v="1"/>
    <n v="4"/>
    <n v="100"/>
  </r>
  <r>
    <n v="1"/>
    <x v="13"/>
    <s v="yes tested"/>
    <x v="0"/>
    <x v="6"/>
    <n v="1"/>
    <n v="0"/>
    <s v="NZ_nopams_45afolu"/>
    <n v="1"/>
    <n v="1"/>
    <n v="-1"/>
    <n v="-1"/>
    <n v="-1"/>
    <n v="1"/>
    <n v="5"/>
    <n v="7.4793989999999999"/>
  </r>
  <r>
    <n v="0"/>
    <x v="14"/>
    <s v="yes tested"/>
    <x v="0"/>
    <x v="8"/>
    <n v="1"/>
    <n v="1"/>
    <s v="NZ_nopams_45afolu"/>
    <n v="1"/>
    <n v="1"/>
    <n v="-1"/>
    <n v="-1"/>
    <n v="-1"/>
    <n v="1"/>
    <n v="5"/>
    <n v="4.7911130000000002"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NZ-20WE-T"/>
    <n v="0"/>
    <n v="1"/>
    <s v="NZ_nopams_20afolu"/>
    <n v="0"/>
    <n v="0"/>
    <n v="-1"/>
    <n v="-1"/>
    <n v="-1"/>
    <n v="1"/>
    <n v="4"/>
    <n v="100"/>
  </r>
  <r>
    <n v="0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0"/>
    <x v="5"/>
    <s v="yes tested"/>
    <s v="base"/>
    <s v="NZ-20NENH"/>
    <n v="1"/>
    <n v="1"/>
    <s v="NZ_nopams_20afolu"/>
    <n v="1"/>
    <n v="1"/>
    <n v="-1"/>
    <n v="-1"/>
    <n v="-1"/>
    <n v="1"/>
    <n v="4"/>
    <n v="6.4793989999999999"/>
  </r>
  <r>
    <n v="0"/>
    <x v="6"/>
    <s v="yes tested"/>
    <s v="base"/>
    <s v="NZ-20WENH"/>
    <n v="1"/>
    <n v="1"/>
    <s v="NZ_nopams_20afolu"/>
    <n v="1"/>
    <n v="1"/>
    <n v="-1"/>
    <n v="-1"/>
    <n v="-1"/>
    <n v="1"/>
    <n v="4"/>
    <n v="6.4793989999999999"/>
  </r>
  <r>
    <n v="0"/>
    <x v="7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0"/>
    <x v="8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0"/>
    <x v="9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10"/>
    <s v="yes tested"/>
    <s v="base"/>
    <s v="CP20NEWH"/>
    <n v="0"/>
    <n v="1"/>
    <s v="NZ_nopams_20afolu"/>
    <n v="0"/>
    <n v="0"/>
    <n v="-1"/>
    <n v="-1"/>
    <n v="-1"/>
    <n v="1"/>
    <n v="4"/>
    <n v="100"/>
  </r>
  <r>
    <n v="0"/>
    <x v="11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2"/>
    <s v="yes tested"/>
    <s v="base"/>
    <s v="NZ-20WE"/>
    <n v="1"/>
    <n v="1"/>
    <s v="NZ_nopams_20afolu"/>
    <n v="1"/>
    <n v="1"/>
    <n v="-1"/>
    <n v="-1"/>
    <n v="-1"/>
    <n v="1"/>
    <n v="4"/>
    <n v="100"/>
  </r>
  <r>
    <n v="1"/>
    <x v="13"/>
    <s v="yes tested"/>
    <s v="base"/>
    <s v="NZ-20NE"/>
    <n v="1"/>
    <n v="0"/>
    <s v="NZ_nopams_45afolu"/>
    <n v="1"/>
    <n v="1"/>
    <n v="-1"/>
    <n v="-1"/>
    <n v="-1"/>
    <n v="1"/>
    <n v="5"/>
    <n v="7.4793989999999999"/>
  </r>
  <r>
    <n v="0"/>
    <x v="14"/>
    <s v="yes tested"/>
    <s v="base"/>
    <s v="NZ-45WE"/>
    <n v="1"/>
    <n v="1"/>
    <s v="NZ_nopams_45afolu"/>
    <n v="1"/>
    <n v="1"/>
    <n v="-1"/>
    <n v="-1"/>
    <n v="-1"/>
    <n v="1"/>
    <n v="5"/>
    <n v="4.7911130000000002"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463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22" firstHeaderRow="1" firstDataRow="1" firstDataCol="1"/>
  <pivotFields count="16">
    <pivotField showAll="0"/>
    <pivotField axis="axisRow" showAll="0" sortType="ascending">
      <items count="18">
        <item m="1" x="16"/>
        <item x="10"/>
        <item x="9"/>
        <item x="0"/>
        <item x="1"/>
        <item x="4"/>
        <item x="7"/>
        <item x="5"/>
        <item x="8"/>
        <item x="6"/>
        <item x="13"/>
        <item x="11"/>
        <item x="12"/>
        <item x="14"/>
        <item x="2"/>
        <item x="3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460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22" firstHeaderRow="1" firstDataRow="1" firstDataCol="1"/>
  <pivotFields count="16">
    <pivotField dataField="1" showAll="0"/>
    <pivotField axis="axisRow" showAll="0">
      <items count="18">
        <item x="15"/>
        <item m="1" x="16"/>
        <item x="11"/>
        <item x="0"/>
        <item x="12"/>
        <item x="4"/>
        <item x="14"/>
        <item x="1"/>
        <item x="5"/>
        <item x="6"/>
        <item x="10"/>
        <item x="9"/>
        <item x="7"/>
        <item x="8"/>
        <item x="2"/>
        <item x="3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46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0"/>
        <item x="12"/>
        <item x="4"/>
        <item x="14"/>
        <item x="1"/>
        <item x="5"/>
        <item x="6"/>
        <item x="10"/>
        <item x="9"/>
        <item x="7"/>
        <item x="8"/>
        <item x="2"/>
        <item x="3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2">
        <item m="1" x="79"/>
        <item m="1" x="58"/>
        <item m="1" x="50"/>
        <item x="9"/>
        <item m="1" x="57"/>
        <item m="1" x="25"/>
        <item m="1" x="69"/>
        <item m="1" x="84"/>
        <item m="1" x="53"/>
        <item m="1" x="59"/>
        <item m="1" x="54"/>
        <item m="1" x="41"/>
        <item m="1" x="12"/>
        <item m="1" x="67"/>
        <item m="1" x="10"/>
        <item m="1" x="116"/>
        <item m="1" x="35"/>
        <item m="1" x="100"/>
        <item m="1" x="110"/>
        <item m="1" x="42"/>
        <item m="1" x="37"/>
        <item m="1" x="104"/>
        <item m="1" x="73"/>
        <item m="1" x="74"/>
        <item m="1" x="101"/>
        <item m="1" x="48"/>
        <item m="1" x="97"/>
        <item m="1" x="18"/>
        <item m="1" x="28"/>
        <item m="1" x="128"/>
        <item m="1" x="81"/>
        <item m="1" x="111"/>
        <item m="1" x="61"/>
        <item m="1" x="113"/>
        <item m="1" x="120"/>
        <item m="1" x="65"/>
        <item m="1" x="82"/>
        <item m="1" x="78"/>
        <item m="1" x="109"/>
        <item m="1" x="107"/>
        <item m="1" x="32"/>
        <item m="1" x="123"/>
        <item m="1" x="76"/>
        <item m="1" x="94"/>
        <item m="1" x="106"/>
        <item m="1" x="125"/>
        <item m="1" x="131"/>
        <item m="1" x="62"/>
        <item m="1" x="52"/>
        <item m="1" x="51"/>
        <item m="1" x="85"/>
        <item m="1" x="56"/>
        <item m="1" x="92"/>
        <item m="1" x="26"/>
        <item m="1" x="66"/>
        <item m="1" x="91"/>
        <item m="1" x="108"/>
        <item m="1" x="64"/>
        <item m="1" x="60"/>
        <item m="1" x="22"/>
        <item m="1" x="115"/>
        <item m="1" x="34"/>
        <item m="1" x="44"/>
        <item m="1" x="71"/>
        <item m="1" x="80"/>
        <item m="1" x="45"/>
        <item m="1" x="16"/>
        <item m="1" x="75"/>
        <item m="1" x="83"/>
        <item m="1" x="38"/>
        <item m="1" x="99"/>
        <item m="1" x="112"/>
        <item m="1" x="68"/>
        <item m="1" x="40"/>
        <item m="1" x="46"/>
        <item m="1" x="33"/>
        <item m="1" x="87"/>
        <item m="1" x="14"/>
        <item m="1" x="93"/>
        <item m="1" x="105"/>
        <item m="1" x="121"/>
        <item m="1" x="102"/>
        <item m="1" x="118"/>
        <item m="1" x="129"/>
        <item m="1" x="47"/>
        <item m="1" x="98"/>
        <item m="1" x="127"/>
        <item m="1" x="23"/>
        <item m="1" x="30"/>
        <item m="1" x="49"/>
        <item m="1" x="77"/>
        <item m="1" x="19"/>
        <item m="1" x="21"/>
        <item x="0"/>
        <item m="1" x="13"/>
        <item m="1" x="117"/>
        <item m="1" x="55"/>
        <item m="1" x="114"/>
        <item m="1" x="31"/>
        <item m="1" x="119"/>
        <item m="1" x="90"/>
        <item m="1" x="70"/>
        <item m="1" x="39"/>
        <item m="1" x="89"/>
        <item m="1" x="11"/>
        <item m="1" x="103"/>
        <item x="3"/>
        <item x="6"/>
        <item m="1" x="88"/>
        <item m="1" x="15"/>
        <item m="1" x="27"/>
        <item x="8"/>
        <item m="1" x="43"/>
        <item m="1" x="36"/>
        <item m="1" x="29"/>
        <item m="1" x="126"/>
        <item m="1" x="130"/>
        <item m="1" x="122"/>
        <item x="1"/>
        <item m="1" x="63"/>
        <item m="1" x="24"/>
        <item m="1" x="17"/>
        <item m="1" x="72"/>
        <item m="1" x="124"/>
        <item x="4"/>
        <item x="5"/>
        <item m="1" x="96"/>
        <item m="1" x="95"/>
        <item m="1" x="20"/>
        <item m="1" x="86"/>
        <item x="7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6">
    <i>
      <x/>
      <x v="3"/>
    </i>
    <i>
      <x v="2"/>
      <x v="107"/>
    </i>
    <i>
      <x v="3"/>
      <x v="93"/>
    </i>
    <i>
      <x v="4"/>
      <x v="106"/>
    </i>
    <i>
      <x v="5"/>
      <x v="106"/>
    </i>
    <i>
      <x v="6"/>
      <x v="111"/>
    </i>
    <i>
      <x v="7"/>
      <x v="118"/>
    </i>
    <i>
      <x v="8"/>
      <x v="124"/>
    </i>
    <i>
      <x v="9"/>
      <x v="125"/>
    </i>
    <i>
      <x v="10"/>
      <x v="130"/>
    </i>
    <i>
      <x v="11"/>
      <x v="130"/>
    </i>
    <i>
      <x v="12"/>
      <x v="107"/>
    </i>
    <i>
      <x v="13"/>
      <x v="106"/>
    </i>
    <i>
      <x v="14"/>
      <x v="93"/>
    </i>
    <i>
      <x v="15"/>
      <x v="131"/>
    </i>
    <i>
      <x v="16"/>
      <x v="10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46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46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22" firstHeaderRow="1" firstDataRow="1" firstDataCol="1"/>
  <pivotFields count="16">
    <pivotField showAll="0"/>
    <pivotField axis="axisRow" showAll="0">
      <items count="18">
        <item x="15"/>
        <item m="1" x="16"/>
        <item x="11"/>
        <item x="0"/>
        <item x="12"/>
        <item x="4"/>
        <item x="14"/>
        <item x="1"/>
        <item x="5"/>
        <item x="6"/>
        <item x="10"/>
        <item x="9"/>
        <item x="7"/>
        <item x="8"/>
        <item x="2"/>
        <item x="3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46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22" firstHeaderRow="0" firstDataRow="1" firstDataCol="1"/>
  <pivotFields count="16">
    <pivotField showAll="0"/>
    <pivotField axis="axisRow" showAll="0">
      <items count="18">
        <item x="15"/>
        <item m="1" x="16"/>
        <item x="11"/>
        <item x="0"/>
        <item x="12"/>
        <item x="4"/>
        <item x="14"/>
        <item x="1"/>
        <item x="5"/>
        <item x="6"/>
        <item x="10"/>
        <item x="9"/>
        <item x="7"/>
        <item x="8"/>
        <item x="2"/>
        <item x="3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46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22" firstHeaderRow="1" firstDataRow="1" firstDataCol="1"/>
  <pivotFields count="16">
    <pivotField showAll="0"/>
    <pivotField axis="axisRow" showAll="0">
      <items count="18">
        <item x="15"/>
        <item m="1" x="16"/>
        <item x="11"/>
        <item x="0"/>
        <item x="12"/>
        <item x="4"/>
        <item x="14"/>
        <item x="1"/>
        <item x="5"/>
        <item x="6"/>
        <item x="10"/>
        <item x="9"/>
        <item x="7"/>
        <item x="8"/>
        <item x="2"/>
        <item x="3"/>
        <item x="1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46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0"/>
        <item x="12"/>
        <item x="4"/>
        <item x="14"/>
        <item x="1"/>
        <item x="5"/>
        <item x="6"/>
        <item x="10"/>
        <item x="9"/>
        <item x="7"/>
        <item x="8"/>
        <item x="2"/>
        <item x="3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6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46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22" firstHeaderRow="1" firstDataRow="1" firstDataCol="1"/>
  <pivotFields count="16">
    <pivotField showAll="0"/>
    <pivotField axis="axisRow" showAll="0">
      <items count="18">
        <item x="15"/>
        <item m="1" x="16"/>
        <item x="11"/>
        <item x="0"/>
        <item x="12"/>
        <item x="4"/>
        <item x="14"/>
        <item x="1"/>
        <item x="5"/>
        <item x="6"/>
        <item x="10"/>
        <item x="9"/>
        <item x="7"/>
        <item x="8"/>
        <item x="2"/>
        <item x="3"/>
        <item x="1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46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22" firstHeaderRow="1" firstDataRow="1" firstDataCol="1"/>
  <pivotFields count="16">
    <pivotField showAll="0"/>
    <pivotField axis="axisRow" showAll="0">
      <items count="18">
        <item x="15"/>
        <item m="1" x="16"/>
        <item x="11"/>
        <item x="0"/>
        <item x="12"/>
        <item x="4"/>
        <item x="14"/>
        <item x="1"/>
        <item x="5"/>
        <item x="6"/>
        <item x="10"/>
        <item x="9"/>
        <item x="7"/>
        <item x="8"/>
        <item x="2"/>
        <item x="3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46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6" firstHeaderRow="1" firstDataRow="1" firstDataCol="1"/>
  <pivotFields count="16">
    <pivotField showAll="0"/>
    <pivotField showAll="0"/>
    <pivotField showAll="0"/>
    <pivotField showAll="0"/>
    <pivotField axis="axisRow" showAll="0">
      <items count="133">
        <item m="1" x="79"/>
        <item m="1" x="58"/>
        <item m="1" x="50"/>
        <item x="9"/>
        <item m="1" x="57"/>
        <item m="1" x="25"/>
        <item m="1" x="69"/>
        <item m="1" x="84"/>
        <item m="1" x="53"/>
        <item m="1" x="59"/>
        <item m="1" x="54"/>
        <item m="1" x="41"/>
        <item m="1" x="12"/>
        <item m="1" x="67"/>
        <item m="1" x="10"/>
        <item m="1" x="116"/>
        <item m="1" x="35"/>
        <item m="1" x="100"/>
        <item m="1" x="110"/>
        <item m="1" x="42"/>
        <item m="1" x="37"/>
        <item m="1" x="104"/>
        <item m="1" x="73"/>
        <item m="1" x="74"/>
        <item m="1" x="101"/>
        <item m="1" x="48"/>
        <item m="1" x="97"/>
        <item m="1" x="18"/>
        <item m="1" x="28"/>
        <item m="1" x="128"/>
        <item m="1" x="81"/>
        <item m="1" x="111"/>
        <item m="1" x="61"/>
        <item m="1" x="113"/>
        <item m="1" x="120"/>
        <item m="1" x="65"/>
        <item m="1" x="82"/>
        <item m="1" x="78"/>
        <item m="1" x="109"/>
        <item m="1" x="107"/>
        <item m="1" x="32"/>
        <item m="1" x="123"/>
        <item m="1" x="76"/>
        <item m="1" x="94"/>
        <item m="1" x="106"/>
        <item m="1" x="125"/>
        <item m="1" x="131"/>
        <item m="1" x="62"/>
        <item m="1" x="52"/>
        <item m="1" x="51"/>
        <item m="1" x="85"/>
        <item m="1" x="56"/>
        <item m="1" x="92"/>
        <item m="1" x="26"/>
        <item m="1" x="66"/>
        <item m="1" x="91"/>
        <item m="1" x="108"/>
        <item m="1" x="64"/>
        <item m="1" x="60"/>
        <item m="1" x="22"/>
        <item m="1" x="115"/>
        <item m="1" x="34"/>
        <item m="1" x="44"/>
        <item m="1" x="71"/>
        <item m="1" x="80"/>
        <item m="1" x="45"/>
        <item m="1" x="16"/>
        <item m="1" x="75"/>
        <item m="1" x="83"/>
        <item m="1" x="38"/>
        <item m="1" x="99"/>
        <item m="1" x="112"/>
        <item m="1" x="68"/>
        <item m="1" x="40"/>
        <item m="1" x="46"/>
        <item m="1" x="33"/>
        <item m="1" x="87"/>
        <item m="1" x="14"/>
        <item m="1" x="93"/>
        <item m="1" x="105"/>
        <item m="1" x="121"/>
        <item m="1" x="102"/>
        <item m="1" x="118"/>
        <item m="1" x="129"/>
        <item m="1" x="47"/>
        <item m="1" x="98"/>
        <item m="1" x="127"/>
        <item m="1" x="23"/>
        <item m="1" x="30"/>
        <item m="1" x="49"/>
        <item m="1" x="77"/>
        <item m="1" x="19"/>
        <item m="1" x="21"/>
        <item x="0"/>
        <item m="1" x="13"/>
        <item m="1" x="117"/>
        <item m="1" x="55"/>
        <item m="1" x="114"/>
        <item m="1" x="31"/>
        <item m="1" x="119"/>
        <item m="1" x="90"/>
        <item m="1" x="70"/>
        <item m="1" x="39"/>
        <item m="1" x="89"/>
        <item m="1" x="11"/>
        <item m="1" x="103"/>
        <item x="3"/>
        <item x="6"/>
        <item m="1" x="88"/>
        <item m="1" x="15"/>
        <item m="1" x="27"/>
        <item x="8"/>
        <item m="1" x="43"/>
        <item m="1" x="36"/>
        <item m="1" x="29"/>
        <item m="1" x="126"/>
        <item m="1" x="130"/>
        <item m="1" x="122"/>
        <item x="1"/>
        <item m="1" x="63"/>
        <item m="1" x="24"/>
        <item m="1" x="17"/>
        <item m="1" x="72"/>
        <item m="1" x="124"/>
        <item x="4"/>
        <item x="5"/>
        <item m="1" x="96"/>
        <item m="1" x="95"/>
        <item m="1" x="20"/>
        <item m="1" x="86"/>
        <item x="7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0">
    <i>
      <x v="3"/>
    </i>
    <i>
      <x v="93"/>
    </i>
    <i>
      <x v="106"/>
    </i>
    <i>
      <x v="107"/>
    </i>
    <i>
      <x v="111"/>
    </i>
    <i>
      <x v="118"/>
    </i>
    <i>
      <x v="124"/>
    </i>
    <i>
      <x v="125"/>
    </i>
    <i>
      <x v="130"/>
    </i>
    <i>
      <x v="13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46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22" firstHeaderRow="1" firstDataRow="1" firstDataCol="1"/>
  <pivotFields count="16">
    <pivotField showAll="0"/>
    <pivotField axis="axisRow" showAll="0">
      <items count="18">
        <item x="15"/>
        <item m="1" x="16"/>
        <item x="11"/>
        <item x="0"/>
        <item x="12"/>
        <item x="4"/>
        <item x="14"/>
        <item x="1"/>
        <item x="5"/>
        <item x="6"/>
        <item x="10"/>
        <item x="9"/>
        <item x="7"/>
        <item x="8"/>
        <item x="2"/>
        <item x="3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E93329DC-B562-40B2-AE61-5E1638C828DB}">
    <text>Note that there is still a problem running with other cases here - still looking into it.</text>
  </threadedComment>
  <threadedComment ref="D18" dT="2020-08-07T12:32:29.60" personId="{8A307EF1-062C-4DD1-801F-D45833AE4B68}" id="{1E8D5750-AB77-4E8C-9CED-EB382C2605DC}">
    <text>Note that there is still a problem running with other cases here - still looking into it.</text>
  </threadedComment>
  <threadedComment ref="D19" dT="2020-08-07T12:32:29.60" personId="{8A307EF1-062C-4DD1-801F-D45833AE4B68}" id="{17FBD226-AEBE-4EC7-A6D6-D1E6F0B044C5}">
    <text>Note that there is still a problem running with other cases here - still looking into it.</text>
  </threadedComment>
  <threadedComment ref="D20" dT="2020-08-07T12:32:29.60" personId="{8A307EF1-062C-4DD1-801F-D45833AE4B68}" id="{37DC2375-4C43-4283-944C-7AF220DF9E63}">
    <text>Note that there is still a problem running with other cases here - still looking into it.</text>
  </threadedComment>
  <threadedComment ref="D21" dT="2020-08-07T12:32:29.60" personId="{8A307EF1-062C-4DD1-801F-D45833AE4B68}" id="{96C64C8E-8DBE-43D2-9EEE-9EDCF222C45D}">
    <text>Note that there is still a problem running with other cases here - still looking into it.</text>
  </threadedComment>
  <threadedComment ref="D22" dT="2020-08-07T12:32:29.60" personId="{8A307EF1-062C-4DD1-801F-D45833AE4B68}" id="{2E84C638-A7D0-4725-AAF5-9E9F72760766}">
    <text>Note that there is still a problem running with other cases here - still looking into it.</text>
  </threadedComment>
  <threadedComment ref="D23" dT="2020-08-07T12:32:29.60" personId="{8A307EF1-062C-4DD1-801F-D45833AE4B68}" id="{561DFB92-4BB0-4BCE-B206-9F4519A27285}">
    <text>Note that there is still a problem running with other cases here - still looking into it.</text>
  </threadedComment>
  <threadedComment ref="D24" dT="2020-08-07T12:32:29.60" personId="{8A307EF1-062C-4DD1-801F-D45833AE4B68}" id="{5339361E-9549-475B-906E-A3B74FCE10E9}">
    <text>Note that there is still a problem running with other cases here - still looking into it.</text>
  </threadedComment>
  <threadedComment ref="D25" dT="2020-08-07T12:32:29.60" personId="{8A307EF1-062C-4DD1-801F-D45833AE4B68}" id="{F8D04539-B167-435E-92BD-A52C8FD12C50}">
    <text>Note that there is still a problem running with other cases here - still looking into it.</text>
  </threadedComment>
  <threadedComment ref="D26" dT="2020-08-07T12:32:29.60" personId="{8A307EF1-062C-4DD1-801F-D45833AE4B68}" id="{7A9E32FD-5EBA-4047-9D71-8B1B1311F04B}">
    <text>Note that there is still a problem running with other cases here - still looking into it.</text>
  </threadedComment>
  <threadedComment ref="D27" dT="2020-08-07T12:32:29.60" personId="{8A307EF1-062C-4DD1-801F-D45833AE4B68}" id="{4DD21D2A-3E6D-4FF1-9945-B1C066CEF212}">
    <text>Note that there is still a problem running with other cases here - still looking into it.</text>
  </threadedComment>
  <threadedComment ref="D28" dT="2020-08-07T12:32:29.60" personId="{8A307EF1-062C-4DD1-801F-D45833AE4B68}" id="{7D40445D-4074-4C20-80C3-E8E278559197}">
    <text>Note that there is still a problem running with other cases here - still looking into it.</text>
  </threadedComment>
  <threadedComment ref="D29" dT="2020-08-07T12:32:29.60" personId="{8A307EF1-062C-4DD1-801F-D45833AE4B68}" id="{E99C0E29-E7B8-476F-A7AD-A7A8D75D28A9}">
    <text>Note that there is still a problem running with other cases here - still looking into it.</text>
  </threadedComment>
  <threadedComment ref="D30" dT="2020-08-07T12:32:29.60" personId="{8A307EF1-062C-4DD1-801F-D45833AE4B68}" id="{E96716FF-CE27-485D-8A10-C9E733DB6A86}">
    <text>Note that there is still a problem running with other cases here - still looking into it.</text>
  </threadedComment>
  <threadedComment ref="D31" dT="2020-08-07T12:32:29.60" personId="{8A307EF1-062C-4DD1-801F-D45833AE4B68}" id="{4D2EFD36-0D4D-4BBC-84F9-6656BEE0624A}">
    <text>Note that there is still a problem running with other cases here - still looking into it.</text>
  </threadedComment>
  <threadedComment ref="D32" dT="2020-08-07T12:32:29.60" personId="{8A307EF1-062C-4DD1-801F-D45833AE4B68}" id="{D0494433-42D8-4479-9B9E-47F973684D64}">
    <text>Note that there is still a problem running with other cases here - still looking into it.</text>
  </threadedComment>
  <threadedComment ref="D33" dT="2020-08-07T12:32:29.60" personId="{8A307EF1-062C-4DD1-801F-D45833AE4B68}" id="{774138A9-CA65-4FA1-8925-2FC98647A1D8}">
    <text>Note that there is still a problem running with other cases here - still looking into it.</text>
  </threadedComment>
  <threadedComment ref="D34" dT="2020-08-07T12:32:29.60" personId="{8A307EF1-062C-4DD1-801F-D45833AE4B68}" id="{2B2E9494-0FF5-4BE3-917A-AB0CA3686EEF}">
    <text>Note that there is still a problem running with other cases here - still looking into it.</text>
  </threadedComment>
  <threadedComment ref="D35" dT="2020-08-07T12:32:29.60" personId="{8A307EF1-062C-4DD1-801F-D45833AE4B68}" id="{F7455BD2-C409-4DE2-B630-94650AF5B1A8}">
    <text>Note that there is still a problem running with other cases here - still looking into it.</text>
  </threadedComment>
  <threadedComment ref="D36" dT="2020-08-07T12:32:29.60" personId="{8A307EF1-062C-4DD1-801F-D45833AE4B68}" id="{D603493A-7273-4879-85CD-3C7962CCF3C6}">
    <text>Note that there is still a problem running with other cases here - still looking into it.</text>
  </threadedComment>
  <threadedComment ref="D37" dT="2020-08-07T12:32:29.60" personId="{8A307EF1-062C-4DD1-801F-D45833AE4B68}" id="{40FD5F70-AE3C-4C12-995B-F22CD38A59C3}">
    <text>Note that there is still a problem running with other cases here - still looking into it.</text>
  </threadedComment>
  <threadedComment ref="D38" dT="2020-08-07T12:32:29.60" personId="{8A307EF1-062C-4DD1-801F-D45833AE4B68}" id="{3D999BBF-4D0F-4FEC-AE00-EC572EA512F9}">
    <text>Note that there is still a problem running with other cases here - still looking into it.</text>
  </threadedComment>
  <threadedComment ref="D39" dT="2020-08-07T12:32:29.60" personId="{8A307EF1-062C-4DD1-801F-D45833AE4B68}" id="{F451622A-C364-4F1C-882A-E0B9970B0FA3}">
    <text>Note that there is still a problem running with other cases here - still looking into it.</text>
  </threadedComment>
  <threadedComment ref="D40" dT="2020-08-07T12:32:29.60" personId="{8A307EF1-062C-4DD1-801F-D45833AE4B68}" id="{44F43EB0-7C19-4B54-BD76-854AEA9594F0}">
    <text>Note that there is still a problem running with other cases here - still looking into it.</text>
  </threadedComment>
  <threadedComment ref="D41" dT="2020-08-07T12:32:29.60" personId="{8A307EF1-062C-4DD1-801F-D45833AE4B68}" id="{72DAE713-F64D-4A4B-92A3-6E290B1C08AC}">
    <text>Note that there is still a problem running with other cases here - still looking into it.</text>
  </threadedComment>
  <threadedComment ref="D42" dT="2020-08-07T12:32:29.60" personId="{8A307EF1-062C-4DD1-801F-D45833AE4B68}" id="{8DC95888-1B09-4C2A-8946-9480A3A0A5C3}">
    <text>Note that there is still a problem running with other cases here - still looking into it.</text>
  </threadedComment>
  <threadedComment ref="D43" dT="2020-08-07T12:32:29.60" personId="{8A307EF1-062C-4DD1-801F-D45833AE4B68}" id="{6DB6B67F-BF22-490F-8851-F4A3280BA24B}">
    <text>Note that there is still a problem running with other cases here - still looking into it.</text>
  </threadedComment>
  <threadedComment ref="D44" dT="2020-08-07T12:32:29.60" personId="{8A307EF1-062C-4DD1-801F-D45833AE4B68}" id="{DD0D03D5-0E45-47B1-BB19-3D43552EF1AF}">
    <text>Note that there is still a problem running with other cases here - still looking into it.</text>
  </threadedComment>
  <threadedComment ref="D45" dT="2020-08-07T12:32:29.60" personId="{8A307EF1-062C-4DD1-801F-D45833AE4B68}" id="{2E057A1D-61F2-468B-8278-F722F83FC647}">
    <text>Note that there is still a problem running with other cases here - still looking into it.</text>
  </threadedComment>
  <threadedComment ref="D7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tabSelected="1" workbookViewId="0">
      <selection activeCell="C21" sqref="C21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249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206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opLeftCell="R1" workbookViewId="0">
      <selection activeCell="AF5" sqref="AF5:AF33"/>
    </sheetView>
  </sheetViews>
  <sheetFormatPr defaultRowHeight="15"/>
  <cols>
    <col min="1" max="1" width="22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2" style="7" bestFit="1" customWidth="1"/>
    <col min="6" max="6" width="23" style="7" bestFit="1" customWidth="1"/>
    <col min="7" max="7" width="22" style="7" bestFit="1" customWidth="1"/>
    <col min="8" max="8" width="19.85546875" style="7" bestFit="1" customWidth="1"/>
    <col min="9" max="9" width="22" style="7" bestFit="1" customWidth="1"/>
    <col min="10" max="10" width="18.5703125" style="7" bestFit="1" customWidth="1"/>
    <col min="11" max="11" width="22" style="7" bestFit="1" customWidth="1"/>
    <col min="12" max="12" width="20.7109375" style="7" bestFit="1" customWidth="1"/>
    <col min="13" max="13" width="22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2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2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248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7" t="s">
        <v>249</v>
      </c>
      <c r="AH6" s="7"/>
    </row>
    <row r="7" spans="1:39">
      <c r="A7" s="13" t="s">
        <v>240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2019</v>
      </c>
      <c r="AE7" s="14">
        <f>2051-Scenarios!G6</f>
        <v>2050</v>
      </c>
      <c r="AF7" s="7">
        <v>2012</v>
      </c>
      <c r="AH7" s="7"/>
      <c r="AI7" s="7"/>
      <c r="AJ7" s="7"/>
      <c r="AM7" t="s">
        <v>14</v>
      </c>
    </row>
    <row r="8" spans="1:39">
      <c r="A8" s="13" t="s">
        <v>241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2020</v>
      </c>
      <c r="AE8" s="14" t="str">
        <f>IF(OR(AE7=2050,AE7=""),"",AE7+1)</f>
        <v/>
      </c>
      <c r="AF8" s="7">
        <v>2015</v>
      </c>
      <c r="AH8" s="7"/>
      <c r="AI8" s="7"/>
      <c r="AJ8" s="7"/>
      <c r="AM8" s="7" t="s">
        <v>15</v>
      </c>
    </row>
    <row r="9" spans="1:39">
      <c r="A9" s="13" t="s">
        <v>224</v>
      </c>
      <c r="B9" s="13" t="s">
        <v>221</v>
      </c>
      <c r="C9" s="13" t="s">
        <v>32</v>
      </c>
      <c r="D9"/>
      <c r="E9" s="13" t="s">
        <v>224</v>
      </c>
      <c r="F9" s="3">
        <v>0</v>
      </c>
      <c r="G9" s="13" t="s">
        <v>224</v>
      </c>
      <c r="H9" s="3">
        <v>0</v>
      </c>
      <c r="I9" s="13" t="s">
        <v>224</v>
      </c>
      <c r="J9" s="3">
        <v>1</v>
      </c>
      <c r="K9" s="13" t="s">
        <v>224</v>
      </c>
      <c r="L9" s="3">
        <v>0</v>
      </c>
      <c r="M9" s="13" t="s">
        <v>224</v>
      </c>
      <c r="N9" s="3">
        <v>0</v>
      </c>
      <c r="O9" s="7" t="s">
        <v>224</v>
      </c>
      <c r="P9" s="7" t="s">
        <v>219</v>
      </c>
      <c r="Q9" s="7" t="s">
        <v>224</v>
      </c>
      <c r="R9" s="7" t="s">
        <v>30</v>
      </c>
      <c r="S9" s="13" t="s">
        <v>224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224</v>
      </c>
      <c r="AB9" s="3">
        <v>100</v>
      </c>
      <c r="AC9" s="3"/>
      <c r="AD9" s="14">
        <v>2021</v>
      </c>
      <c r="AE9" s="14" t="str">
        <f>IF(OR(AE8=2050,AE8=""),"",AE8+1)</f>
        <v/>
      </c>
      <c r="AF9" s="7">
        <v>2016</v>
      </c>
      <c r="AH9" s="7"/>
      <c r="AI9" s="7"/>
      <c r="AJ9" s="7"/>
      <c r="AM9" s="7" t="s">
        <v>16</v>
      </c>
    </row>
    <row r="10" spans="1:39">
      <c r="A10" s="13" t="s">
        <v>233</v>
      </c>
      <c r="B10" s="13" t="s">
        <v>222</v>
      </c>
      <c r="C10" s="13" t="s">
        <v>46</v>
      </c>
      <c r="D10"/>
      <c r="E10" s="13" t="s">
        <v>230</v>
      </c>
      <c r="F10" s="3">
        <v>0</v>
      </c>
      <c r="G10" s="13" t="s">
        <v>230</v>
      </c>
      <c r="H10" s="3">
        <v>1</v>
      </c>
      <c r="I10" s="13" t="s">
        <v>230</v>
      </c>
      <c r="J10" s="3">
        <v>1</v>
      </c>
      <c r="K10" s="13" t="s">
        <v>230</v>
      </c>
      <c r="L10" s="3">
        <v>1</v>
      </c>
      <c r="M10" s="13" t="s">
        <v>230</v>
      </c>
      <c r="N10" s="3">
        <v>1</v>
      </c>
      <c r="O10" s="7" t="s">
        <v>230</v>
      </c>
      <c r="P10" s="7" t="s">
        <v>221</v>
      </c>
      <c r="Q10" s="7" t="s">
        <v>230</v>
      </c>
      <c r="R10" s="7" t="s">
        <v>30</v>
      </c>
      <c r="S10" s="13" t="s">
        <v>230</v>
      </c>
      <c r="T10" s="3">
        <v>-1</v>
      </c>
      <c r="U10" s="3">
        <v>-1</v>
      </c>
      <c r="V10" s="3">
        <v>-1</v>
      </c>
      <c r="W10" s="3">
        <v>1</v>
      </c>
      <c r="X10" s="3">
        <v>4</v>
      </c>
      <c r="Y10" s="3"/>
      <c r="Z10" s="3"/>
      <c r="AA10" s="13" t="s">
        <v>230</v>
      </c>
      <c r="AB10" s="3">
        <v>100</v>
      </c>
      <c r="AC10" s="3"/>
      <c r="AD10" s="14">
        <v>2022</v>
      </c>
      <c r="AE10" s="14" t="str">
        <f t="shared" ref="AE10:AE13" si="0">IF(OR(AE9=2050,AE9=""),"",AE9+1)</f>
        <v/>
      </c>
      <c r="AF10" s="7">
        <v>2017</v>
      </c>
      <c r="AH10" s="7"/>
      <c r="AI10" s="7"/>
      <c r="AJ10" s="7"/>
      <c r="AM10" s="7" t="s">
        <v>17</v>
      </c>
    </row>
    <row r="11" spans="1:39">
      <c r="A11" s="13" t="s">
        <v>231</v>
      </c>
      <c r="B11" s="13" t="s">
        <v>223</v>
      </c>
      <c r="C11" s="13" t="s">
        <v>47</v>
      </c>
      <c r="D11"/>
      <c r="E11" s="13" t="s">
        <v>231</v>
      </c>
      <c r="F11" s="3">
        <v>0</v>
      </c>
      <c r="G11" s="13" t="s">
        <v>231</v>
      </c>
      <c r="H11" s="3">
        <v>1</v>
      </c>
      <c r="I11" s="13" t="s">
        <v>231</v>
      </c>
      <c r="J11" s="3">
        <v>1</v>
      </c>
      <c r="K11" s="13" t="s">
        <v>231</v>
      </c>
      <c r="L11" s="3">
        <v>1</v>
      </c>
      <c r="M11" s="13" t="s">
        <v>231</v>
      </c>
      <c r="N11" s="3">
        <v>1</v>
      </c>
      <c r="O11" s="7" t="s">
        <v>231</v>
      </c>
      <c r="P11" s="7" t="s">
        <v>221</v>
      </c>
      <c r="Q11" s="7" t="s">
        <v>231</v>
      </c>
      <c r="R11" s="7" t="s">
        <v>30</v>
      </c>
      <c r="S11" s="13" t="s">
        <v>231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231</v>
      </c>
      <c r="AB11" s="3">
        <v>5.4793989999999999</v>
      </c>
      <c r="AD11" s="14">
        <v>2023</v>
      </c>
      <c r="AE11" s="14" t="str">
        <f t="shared" si="0"/>
        <v/>
      </c>
      <c r="AF11" s="7">
        <v>2018</v>
      </c>
      <c r="AH11" s="7"/>
      <c r="AI11" s="7"/>
      <c r="AJ11" s="7"/>
      <c r="AM11" s="7" t="s">
        <v>18</v>
      </c>
    </row>
    <row r="12" spans="1:39">
      <c r="A12" s="13" t="s">
        <v>242</v>
      </c>
      <c r="B12" s="13" t="s">
        <v>234</v>
      </c>
      <c r="C12" s="13" t="s">
        <v>48</v>
      </c>
      <c r="D12" s="13"/>
      <c r="E12" s="13" t="s">
        <v>232</v>
      </c>
      <c r="F12" s="3">
        <v>0</v>
      </c>
      <c r="G12" s="13" t="s">
        <v>232</v>
      </c>
      <c r="H12" s="3">
        <v>1</v>
      </c>
      <c r="I12" s="13" t="s">
        <v>232</v>
      </c>
      <c r="J12" s="3">
        <v>1</v>
      </c>
      <c r="K12" s="13" t="s">
        <v>232</v>
      </c>
      <c r="L12" s="3">
        <v>1</v>
      </c>
      <c r="M12" s="13" t="s">
        <v>232</v>
      </c>
      <c r="N12" s="3">
        <v>1</v>
      </c>
      <c r="O12" s="7" t="s">
        <v>232</v>
      </c>
      <c r="P12" s="7" t="s">
        <v>223</v>
      </c>
      <c r="Q12" s="7" t="s">
        <v>232</v>
      </c>
      <c r="R12" s="7" t="s">
        <v>30</v>
      </c>
      <c r="S12" s="13" t="s">
        <v>232</v>
      </c>
      <c r="T12" s="3">
        <v>-1</v>
      </c>
      <c r="U12" s="3">
        <v>-1</v>
      </c>
      <c r="V12" s="3">
        <v>-1</v>
      </c>
      <c r="W12" s="3">
        <v>1</v>
      </c>
      <c r="X12" s="3">
        <v>5</v>
      </c>
      <c r="Y12" s="3"/>
      <c r="Z12" s="3"/>
      <c r="AA12" s="13" t="s">
        <v>232</v>
      </c>
      <c r="AB12" s="3">
        <v>4.7911130000000002</v>
      </c>
      <c r="AD12" s="14">
        <v>2024</v>
      </c>
      <c r="AE12" s="14" t="str">
        <f t="shared" si="0"/>
        <v/>
      </c>
      <c r="AF12" s="7">
        <v>2019</v>
      </c>
      <c r="AH12" s="7"/>
      <c r="AI12" s="7"/>
      <c r="AJ12" s="7"/>
      <c r="AM12" s="7" t="s">
        <v>19</v>
      </c>
    </row>
    <row r="13" spans="1:39">
      <c r="A13" s="13" t="s">
        <v>235</v>
      </c>
      <c r="B13" s="13" t="s">
        <v>237</v>
      </c>
      <c r="C13" s="13" t="s">
        <v>49</v>
      </c>
      <c r="D13" s="13"/>
      <c r="E13" s="13" t="s">
        <v>233</v>
      </c>
      <c r="F13" s="3">
        <v>0</v>
      </c>
      <c r="G13" s="13" t="s">
        <v>233</v>
      </c>
      <c r="H13" s="3">
        <v>0</v>
      </c>
      <c r="I13" s="13" t="s">
        <v>233</v>
      </c>
      <c r="J13" s="3">
        <v>1</v>
      </c>
      <c r="K13" s="13" t="s">
        <v>233</v>
      </c>
      <c r="L13" s="3">
        <v>0</v>
      </c>
      <c r="M13" s="13" t="s">
        <v>233</v>
      </c>
      <c r="N13" s="3">
        <v>0</v>
      </c>
      <c r="O13" s="7" t="s">
        <v>233</v>
      </c>
      <c r="P13" s="7" t="s">
        <v>234</v>
      </c>
      <c r="Q13" s="7" t="s">
        <v>233</v>
      </c>
      <c r="R13" s="7" t="s">
        <v>30</v>
      </c>
      <c r="S13" s="13" t="s">
        <v>233</v>
      </c>
      <c r="T13" s="3">
        <v>-1</v>
      </c>
      <c r="U13" s="3">
        <v>-1</v>
      </c>
      <c r="V13" s="3">
        <v>-1</v>
      </c>
      <c r="W13" s="3">
        <v>1</v>
      </c>
      <c r="X13" s="3">
        <v>4</v>
      </c>
      <c r="Y13" s="3"/>
      <c r="Z13" s="3"/>
      <c r="AA13" s="13" t="s">
        <v>233</v>
      </c>
      <c r="AB13" s="3">
        <v>4.4793989999999999</v>
      </c>
      <c r="AD13" s="14">
        <v>2025</v>
      </c>
      <c r="AE13" s="14" t="str">
        <f t="shared" si="0"/>
        <v/>
      </c>
      <c r="AF13" s="7">
        <v>2020</v>
      </c>
      <c r="AH13" s="7"/>
      <c r="AI13" s="7"/>
      <c r="AJ13" s="7"/>
      <c r="AM13" s="7" t="s">
        <v>20</v>
      </c>
    </row>
    <row r="14" spans="1:39">
      <c r="A14" s="13" t="s">
        <v>243</v>
      </c>
      <c r="B14" s="13" t="s">
        <v>238</v>
      </c>
      <c r="C14" s="13" t="s">
        <v>50</v>
      </c>
      <c r="D14" s="13"/>
      <c r="E14" s="13" t="s">
        <v>235</v>
      </c>
      <c r="F14" s="3">
        <v>0</v>
      </c>
      <c r="G14" s="13" t="s">
        <v>235</v>
      </c>
      <c r="H14" s="3">
        <v>1</v>
      </c>
      <c r="I14" s="13" t="s">
        <v>235</v>
      </c>
      <c r="J14" s="3">
        <v>1</v>
      </c>
      <c r="K14" s="13" t="s">
        <v>235</v>
      </c>
      <c r="L14" s="3">
        <v>1</v>
      </c>
      <c r="M14" s="13" t="s">
        <v>235</v>
      </c>
      <c r="N14" s="3">
        <v>1</v>
      </c>
      <c r="O14" s="7" t="s">
        <v>235</v>
      </c>
      <c r="P14" s="7" t="s">
        <v>237</v>
      </c>
      <c r="Q14" s="7" t="s">
        <v>235</v>
      </c>
      <c r="R14" s="7" t="s">
        <v>30</v>
      </c>
      <c r="S14" s="13" t="s">
        <v>235</v>
      </c>
      <c r="T14" s="3">
        <v>-1</v>
      </c>
      <c r="U14" s="3">
        <v>-1</v>
      </c>
      <c r="V14" s="3">
        <v>-1</v>
      </c>
      <c r="W14" s="3">
        <v>1</v>
      </c>
      <c r="X14" s="3">
        <v>4</v>
      </c>
      <c r="Y14" s="3"/>
      <c r="Z14" s="3"/>
      <c r="AA14" s="13" t="s">
        <v>235</v>
      </c>
      <c r="AB14" s="3">
        <v>6.4793989999999999</v>
      </c>
      <c r="AD14" s="14">
        <v>2026</v>
      </c>
      <c r="AF14" s="7">
        <v>2021</v>
      </c>
      <c r="AH14" s="7"/>
      <c r="AI14" s="7"/>
      <c r="AJ14" s="7"/>
      <c r="AM14" s="7" t="s">
        <v>21</v>
      </c>
    </row>
    <row r="15" spans="1:39">
      <c r="A15" s="13" t="s">
        <v>236</v>
      </c>
      <c r="B15" s="13" t="s">
        <v>239</v>
      </c>
      <c r="C15" s="13" t="s">
        <v>51</v>
      </c>
      <c r="D15" s="13"/>
      <c r="E15" s="13" t="s">
        <v>236</v>
      </c>
      <c r="F15" s="3">
        <v>0</v>
      </c>
      <c r="G15" s="13" t="s">
        <v>236</v>
      </c>
      <c r="H15" s="3">
        <v>1</v>
      </c>
      <c r="I15" s="13" t="s">
        <v>236</v>
      </c>
      <c r="J15" s="3">
        <v>1</v>
      </c>
      <c r="K15" s="13" t="s">
        <v>236</v>
      </c>
      <c r="L15" s="3">
        <v>1</v>
      </c>
      <c r="M15" s="13" t="s">
        <v>236</v>
      </c>
      <c r="N15" s="3">
        <v>1</v>
      </c>
      <c r="O15" s="7" t="s">
        <v>236</v>
      </c>
      <c r="P15" s="7" t="s">
        <v>238</v>
      </c>
      <c r="Q15" s="7" t="s">
        <v>236</v>
      </c>
      <c r="R15" s="7" t="s">
        <v>30</v>
      </c>
      <c r="S15" s="13" t="s">
        <v>236</v>
      </c>
      <c r="T15" s="3">
        <v>-1</v>
      </c>
      <c r="U15" s="3">
        <v>-1</v>
      </c>
      <c r="V15" s="3">
        <v>-1</v>
      </c>
      <c r="W15" s="3">
        <v>1</v>
      </c>
      <c r="X15" s="3">
        <v>4</v>
      </c>
      <c r="Y15" s="3"/>
      <c r="Z15" s="3"/>
      <c r="AA15" s="13" t="s">
        <v>236</v>
      </c>
      <c r="AB15" s="3">
        <v>6.4793989999999999</v>
      </c>
      <c r="AD15" s="14">
        <v>2027</v>
      </c>
      <c r="AF15" s="7">
        <v>2022</v>
      </c>
      <c r="AH15" s="7"/>
      <c r="AI15" s="7"/>
      <c r="AJ15" s="7"/>
      <c r="AM15" s="7" t="s">
        <v>22</v>
      </c>
    </row>
    <row r="16" spans="1:39">
      <c r="A16" s="13" t="s">
        <v>247</v>
      </c>
      <c r="B16" s="13" t="s">
        <v>245</v>
      </c>
      <c r="C16" s="13" t="s">
        <v>52</v>
      </c>
      <c r="D16" s="13"/>
      <c r="E16" s="13" t="s">
        <v>240</v>
      </c>
      <c r="F16" s="3">
        <v>0</v>
      </c>
      <c r="G16" s="13" t="s">
        <v>240</v>
      </c>
      <c r="H16" s="3">
        <v>0</v>
      </c>
      <c r="I16" s="13" t="s">
        <v>240</v>
      </c>
      <c r="J16" s="3">
        <v>1</v>
      </c>
      <c r="K16" s="13" t="s">
        <v>240</v>
      </c>
      <c r="L16" s="3">
        <v>0</v>
      </c>
      <c r="M16" s="13" t="s">
        <v>240</v>
      </c>
      <c r="N16" s="3">
        <v>0</v>
      </c>
      <c r="O16" s="7" t="s">
        <v>240</v>
      </c>
      <c r="P16" s="7" t="s">
        <v>239</v>
      </c>
      <c r="Q16" s="7" t="s">
        <v>240</v>
      </c>
      <c r="R16" s="7" t="s">
        <v>30</v>
      </c>
      <c r="S16" s="13" t="s">
        <v>240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240</v>
      </c>
      <c r="AB16" s="3">
        <v>100</v>
      </c>
      <c r="AD16" s="14">
        <v>2028</v>
      </c>
      <c r="AF16" s="7">
        <v>2023</v>
      </c>
      <c r="AH16" s="7"/>
      <c r="AI16" s="7"/>
      <c r="AJ16" s="7"/>
      <c r="AM16" s="7" t="s">
        <v>5</v>
      </c>
    </row>
    <row r="17" spans="1:39">
      <c r="A17" s="13" t="s">
        <v>220</v>
      </c>
      <c r="B17"/>
      <c r="E17" s="13" t="s">
        <v>241</v>
      </c>
      <c r="F17" s="3">
        <v>0</v>
      </c>
      <c r="G17" s="13" t="s">
        <v>241</v>
      </c>
      <c r="H17" s="3">
        <v>1</v>
      </c>
      <c r="I17" s="13" t="s">
        <v>241</v>
      </c>
      <c r="J17" s="3">
        <v>1</v>
      </c>
      <c r="K17" s="13" t="s">
        <v>241</v>
      </c>
      <c r="L17" s="3">
        <v>1</v>
      </c>
      <c r="M17" s="13" t="s">
        <v>241</v>
      </c>
      <c r="N17" s="3">
        <v>1</v>
      </c>
      <c r="O17" s="7" t="s">
        <v>241</v>
      </c>
      <c r="P17" s="7" t="s">
        <v>239</v>
      </c>
      <c r="Q17" s="7" t="s">
        <v>241</v>
      </c>
      <c r="R17" s="7" t="s">
        <v>30</v>
      </c>
      <c r="S17" s="13" t="s">
        <v>241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241</v>
      </c>
      <c r="AB17" s="3">
        <v>7.75</v>
      </c>
      <c r="AD17" s="14">
        <v>2029</v>
      </c>
      <c r="AF17" s="7">
        <v>2024</v>
      </c>
      <c r="AH17" s="7"/>
      <c r="AI17" s="7"/>
      <c r="AJ17" s="7"/>
      <c r="AM17" s="7" t="s">
        <v>23</v>
      </c>
    </row>
    <row r="18" spans="1:39">
      <c r="A18" s="13" t="s">
        <v>230</v>
      </c>
      <c r="B18"/>
      <c r="E18" s="13" t="s">
        <v>242</v>
      </c>
      <c r="F18" s="3">
        <v>0</v>
      </c>
      <c r="G18" s="13" t="s">
        <v>242</v>
      </c>
      <c r="H18" s="3">
        <v>1</v>
      </c>
      <c r="I18" s="13" t="s">
        <v>242</v>
      </c>
      <c r="J18" s="3">
        <v>1</v>
      </c>
      <c r="K18" s="13" t="s">
        <v>242</v>
      </c>
      <c r="L18" s="3">
        <v>1</v>
      </c>
      <c r="M18" s="13" t="s">
        <v>242</v>
      </c>
      <c r="N18" s="3">
        <v>1</v>
      </c>
      <c r="O18" s="7" t="s">
        <v>242</v>
      </c>
      <c r="P18" s="7" t="s">
        <v>222</v>
      </c>
      <c r="Q18" s="7" t="s">
        <v>242</v>
      </c>
      <c r="R18" s="7" t="s">
        <v>30</v>
      </c>
      <c r="S18" s="13" t="s">
        <v>242</v>
      </c>
      <c r="T18" s="3">
        <v>-1</v>
      </c>
      <c r="U18" s="3">
        <v>-1</v>
      </c>
      <c r="V18" s="3">
        <v>-1</v>
      </c>
      <c r="W18" s="3">
        <v>1</v>
      </c>
      <c r="X18" s="3">
        <v>4</v>
      </c>
      <c r="Y18" s="3"/>
      <c r="Z18" s="3"/>
      <c r="AA18" s="13" t="s">
        <v>242</v>
      </c>
      <c r="AB18" s="3">
        <v>6.4793989999999999</v>
      </c>
      <c r="AD18" s="14">
        <v>2030</v>
      </c>
      <c r="AF18" s="7">
        <v>2025</v>
      </c>
      <c r="AH18" s="7"/>
      <c r="AI18" s="7"/>
      <c r="AJ18" s="7"/>
      <c r="AM18" s="7" t="s">
        <v>25</v>
      </c>
    </row>
    <row r="19" spans="1:39">
      <c r="A19" s="13" t="s">
        <v>232</v>
      </c>
      <c r="B19"/>
      <c r="E19" s="13" t="s">
        <v>243</v>
      </c>
      <c r="F19" s="3">
        <v>0</v>
      </c>
      <c r="G19" s="13" t="s">
        <v>243</v>
      </c>
      <c r="H19" s="3">
        <v>1</v>
      </c>
      <c r="I19" s="13" t="s">
        <v>243</v>
      </c>
      <c r="J19" s="3">
        <v>1</v>
      </c>
      <c r="K19" s="13" t="s">
        <v>243</v>
      </c>
      <c r="L19" s="3">
        <v>1</v>
      </c>
      <c r="M19" s="13" t="s">
        <v>243</v>
      </c>
      <c r="N19" s="3">
        <v>1</v>
      </c>
      <c r="O19" s="7" t="s">
        <v>243</v>
      </c>
      <c r="P19" s="7" t="s">
        <v>221</v>
      </c>
      <c r="Q19" s="7" t="s">
        <v>243</v>
      </c>
      <c r="R19" s="7" t="s">
        <v>30</v>
      </c>
      <c r="S19" s="13" t="s">
        <v>243</v>
      </c>
      <c r="T19" s="3">
        <v>-1</v>
      </c>
      <c r="U19" s="3">
        <v>-1</v>
      </c>
      <c r="V19" s="3">
        <v>-1</v>
      </c>
      <c r="W19" s="3">
        <v>1</v>
      </c>
      <c r="X19" s="3">
        <v>4</v>
      </c>
      <c r="Y19" s="3"/>
      <c r="Z19" s="3"/>
      <c r="AA19" s="13" t="s">
        <v>243</v>
      </c>
      <c r="AB19" s="3">
        <v>6.4793989999999999</v>
      </c>
      <c r="AD19" s="14">
        <v>2031</v>
      </c>
      <c r="AF19" s="7">
        <v>2026</v>
      </c>
      <c r="AH19" s="7"/>
      <c r="AI19" s="7"/>
      <c r="AJ19" s="7"/>
      <c r="AM19" s="7" t="s">
        <v>24</v>
      </c>
    </row>
    <row r="20" spans="1:39">
      <c r="A20" s="13" t="s">
        <v>244</v>
      </c>
      <c r="B20"/>
      <c r="E20" s="13" t="s">
        <v>244</v>
      </c>
      <c r="F20" s="3">
        <v>0</v>
      </c>
      <c r="G20" s="13" t="s">
        <v>244</v>
      </c>
      <c r="H20" s="3">
        <v>0</v>
      </c>
      <c r="I20" s="13" t="s">
        <v>244</v>
      </c>
      <c r="J20" s="3">
        <v>1</v>
      </c>
      <c r="K20" s="13" t="s">
        <v>244</v>
      </c>
      <c r="L20" s="3">
        <v>0</v>
      </c>
      <c r="M20" s="13" t="s">
        <v>244</v>
      </c>
      <c r="N20" s="3">
        <v>0</v>
      </c>
      <c r="O20" s="7" t="s">
        <v>244</v>
      </c>
      <c r="P20" s="7" t="s">
        <v>219</v>
      </c>
      <c r="Q20" s="7" t="s">
        <v>244</v>
      </c>
      <c r="R20" s="7" t="s">
        <v>30</v>
      </c>
      <c r="S20" s="13" t="s">
        <v>244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244</v>
      </c>
      <c r="AB20" s="3">
        <v>100</v>
      </c>
      <c r="AD20" s="14">
        <v>2032</v>
      </c>
      <c r="AF20" s="7">
        <v>2027</v>
      </c>
      <c r="AH20" s="7"/>
      <c r="AI20" s="7"/>
      <c r="AJ20" s="7"/>
      <c r="AM20" s="7" t="s">
        <v>11</v>
      </c>
    </row>
    <row r="21" spans="1:39">
      <c r="A21" s="13" t="s">
        <v>246</v>
      </c>
      <c r="B21"/>
      <c r="E21" s="13" t="s">
        <v>246</v>
      </c>
      <c r="F21" s="3">
        <v>0</v>
      </c>
      <c r="G21" s="13" t="s">
        <v>246</v>
      </c>
      <c r="H21" s="3">
        <v>0</v>
      </c>
      <c r="I21" s="13" t="s">
        <v>246</v>
      </c>
      <c r="J21" s="3">
        <v>1</v>
      </c>
      <c r="K21" s="13" t="s">
        <v>246</v>
      </c>
      <c r="L21" s="3">
        <v>0</v>
      </c>
      <c r="M21" s="13" t="s">
        <v>246</v>
      </c>
      <c r="N21" s="3">
        <v>0</v>
      </c>
      <c r="O21" s="7" t="s">
        <v>246</v>
      </c>
      <c r="P21" s="7" t="s">
        <v>245</v>
      </c>
      <c r="Q21" s="7" t="s">
        <v>246</v>
      </c>
      <c r="R21" s="7" t="s">
        <v>30</v>
      </c>
      <c r="S21" s="13" t="s">
        <v>246</v>
      </c>
      <c r="T21" s="3">
        <v>-1</v>
      </c>
      <c r="U21" s="3">
        <v>-1</v>
      </c>
      <c r="V21" s="3">
        <v>-1</v>
      </c>
      <c r="W21" s="3">
        <v>1</v>
      </c>
      <c r="X21" s="3">
        <v>4</v>
      </c>
      <c r="Y21" s="3"/>
      <c r="Z21" s="3"/>
      <c r="AA21" s="13" t="s">
        <v>246</v>
      </c>
      <c r="AB21" s="3">
        <v>100</v>
      </c>
      <c r="AD21" s="14">
        <v>2033</v>
      </c>
      <c r="AF21" s="7">
        <v>2028</v>
      </c>
      <c r="AH21" s="7"/>
      <c r="AI21" s="7"/>
      <c r="AJ21" s="7"/>
      <c r="AM21" s="7" t="s">
        <v>11</v>
      </c>
    </row>
    <row r="22" spans="1:39">
      <c r="A22" s="13" t="s">
        <v>193</v>
      </c>
      <c r="B22"/>
      <c r="E22" s="13" t="s">
        <v>247</v>
      </c>
      <c r="F22" s="3">
        <v>1</v>
      </c>
      <c r="G22" s="13" t="s">
        <v>247</v>
      </c>
      <c r="H22" s="3">
        <v>1</v>
      </c>
      <c r="I22" s="13" t="s">
        <v>247</v>
      </c>
      <c r="J22" s="3">
        <v>0</v>
      </c>
      <c r="K22" s="13" t="s">
        <v>247</v>
      </c>
      <c r="L22" s="3">
        <v>1</v>
      </c>
      <c r="M22" s="13" t="s">
        <v>247</v>
      </c>
      <c r="N22" s="3">
        <v>1</v>
      </c>
      <c r="O22" s="7" t="s">
        <v>247</v>
      </c>
      <c r="P22" s="7" t="s">
        <v>222</v>
      </c>
      <c r="Q22" s="7" t="s">
        <v>247</v>
      </c>
      <c r="R22" s="7" t="s">
        <v>30</v>
      </c>
      <c r="S22" s="13" t="s">
        <v>247</v>
      </c>
      <c r="T22" s="3">
        <v>-1</v>
      </c>
      <c r="U22" s="3">
        <v>-1</v>
      </c>
      <c r="V22" s="3">
        <v>-1</v>
      </c>
      <c r="W22" s="3">
        <v>1</v>
      </c>
      <c r="X22" s="3">
        <v>5</v>
      </c>
      <c r="Y22" s="3"/>
      <c r="Z22" s="3"/>
      <c r="AA22" s="13" t="s">
        <v>247</v>
      </c>
      <c r="AB22" s="3">
        <v>7.4793989999999999</v>
      </c>
      <c r="AD22" s="14">
        <v>2034</v>
      </c>
      <c r="AF22" s="7">
        <v>2029</v>
      </c>
      <c r="AH22" s="7"/>
      <c r="AI22" s="7"/>
      <c r="AJ22" s="7"/>
      <c r="AM22" s="7" t="s">
        <v>11</v>
      </c>
    </row>
    <row r="23" spans="1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2035</v>
      </c>
      <c r="AF23" s="7">
        <v>2030</v>
      </c>
      <c r="AH23" s="7"/>
      <c r="AI23" s="7"/>
      <c r="AJ23" s="7"/>
      <c r="AM23" s="7" t="s">
        <v>11</v>
      </c>
    </row>
    <row r="24" spans="1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2036</v>
      </c>
      <c r="AF24" s="7">
        <v>2031</v>
      </c>
      <c r="AH24" s="7"/>
      <c r="AI24" s="7"/>
      <c r="AJ24" s="7"/>
      <c r="AM24" s="7"/>
    </row>
    <row r="25" spans="1:39">
      <c r="B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2037</v>
      </c>
      <c r="AF25" s="7">
        <v>2032</v>
      </c>
      <c r="AH25" s="7"/>
      <c r="AI25" s="7"/>
      <c r="AJ25" s="7"/>
      <c r="AM25" s="7"/>
    </row>
    <row r="26" spans="1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2038</v>
      </c>
      <c r="AF26" s="7">
        <v>2033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2039</v>
      </c>
      <c r="AF27" s="7">
        <v>2034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2040</v>
      </c>
      <c r="AF28" s="7">
        <v>2035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2041</v>
      </c>
      <c r="AF29" s="7">
        <v>2036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2042</v>
      </c>
      <c r="AF30" s="7">
        <v>2037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2043</v>
      </c>
      <c r="AF31" s="7">
        <v>2040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2044</v>
      </c>
      <c r="AF32" s="7">
        <v>2045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2045</v>
      </c>
      <c r="AF33" s="7">
        <v>2050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2046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2047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2048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2049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2050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90"/>
  <sheetViews>
    <sheetView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P23" sqref="P23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3" si="0">RIGHT(B15,1)</f>
        <v>2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2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>RIGHT(B19,1)</f>
        <v>E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226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229</v>
      </c>
      <c r="U5" s="7">
        <v>100</v>
      </c>
      <c r="AZ5" t="s">
        <v>207</v>
      </c>
    </row>
    <row r="6" spans="1:60">
      <c r="A6" s="5">
        <f>SUM(A10:A97)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227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8" t="s">
        <v>26</v>
      </c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Y6">
        <f>SUM(AY10:AY76)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228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225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7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0</v>
      </c>
      <c r="B10" s="7" t="s">
        <v>224</v>
      </c>
      <c r="C10" s="7" t="s">
        <v>195</v>
      </c>
      <c r="D10" s="7" t="s">
        <v>30</v>
      </c>
      <c r="E10" s="7" t="s">
        <v>219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0</v>
      </c>
      <c r="B11" s="7" t="s">
        <v>233</v>
      </c>
      <c r="C11" s="7" t="s">
        <v>195</v>
      </c>
      <c r="D11" s="7" t="s">
        <v>30</v>
      </c>
      <c r="E11" s="7" t="s">
        <v>234</v>
      </c>
      <c r="F11" s="7">
        <v>0</v>
      </c>
      <c r="G11" s="7">
        <v>1</v>
      </c>
      <c r="H11" s="7" t="s">
        <v>226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0</v>
      </c>
      <c r="B12" s="7" t="s">
        <v>244</v>
      </c>
      <c r="C12" s="7" t="s">
        <v>195</v>
      </c>
      <c r="D12" s="7" t="s">
        <v>30</v>
      </c>
      <c r="E12" s="7" t="s">
        <v>219</v>
      </c>
      <c r="F12" s="7">
        <v>0</v>
      </c>
      <c r="G12" s="7">
        <v>1</v>
      </c>
      <c r="H12" s="7" t="s">
        <v>226</v>
      </c>
      <c r="I12" s="7">
        <v>0</v>
      </c>
      <c r="J12" s="7">
        <v>0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100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0</v>
      </c>
      <c r="B13" s="7" t="s">
        <v>246</v>
      </c>
      <c r="C13" s="7" t="s">
        <v>195</v>
      </c>
      <c r="D13" s="7" t="s">
        <v>30</v>
      </c>
      <c r="E13" s="7" t="s">
        <v>245</v>
      </c>
      <c r="F13" s="7">
        <v>0</v>
      </c>
      <c r="G13" s="7">
        <v>1</v>
      </c>
      <c r="H13" s="7" t="s">
        <v>226</v>
      </c>
      <c r="I13" s="7">
        <v>0</v>
      </c>
      <c r="J13" s="7">
        <v>0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100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0</v>
      </c>
      <c r="B14" s="7" t="s">
        <v>231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226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0</v>
      </c>
      <c r="B15" s="27" t="s">
        <v>235</v>
      </c>
      <c r="C15" s="7" t="s">
        <v>195</v>
      </c>
      <c r="D15" s="7" t="s">
        <v>30</v>
      </c>
      <c r="E15" s="17" t="s">
        <v>237</v>
      </c>
      <c r="F15" s="7">
        <v>1</v>
      </c>
      <c r="G15" s="7">
        <v>1</v>
      </c>
      <c r="H15" s="7" t="s">
        <v>226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0</v>
      </c>
      <c r="B16" s="27" t="s">
        <v>236</v>
      </c>
      <c r="C16" s="7" t="s">
        <v>195</v>
      </c>
      <c r="D16" s="7" t="s">
        <v>30</v>
      </c>
      <c r="E16" s="17" t="s">
        <v>238</v>
      </c>
      <c r="F16" s="7">
        <v>1</v>
      </c>
      <c r="G16" s="7">
        <v>1</v>
      </c>
      <c r="H16" s="7" t="s">
        <v>226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0</v>
      </c>
      <c r="B17" s="27" t="s">
        <v>242</v>
      </c>
      <c r="C17" s="7" t="s">
        <v>195</v>
      </c>
      <c r="D17" s="7" t="s">
        <v>30</v>
      </c>
      <c r="E17" s="17" t="s">
        <v>222</v>
      </c>
      <c r="F17" s="7">
        <v>1</v>
      </c>
      <c r="G17" s="7">
        <v>1</v>
      </c>
      <c r="H17" s="7" t="s">
        <v>226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6.4793989999999999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>
      <c r="A18" s="22">
        <v>0</v>
      </c>
      <c r="B18" s="27" t="s">
        <v>243</v>
      </c>
      <c r="C18" s="7" t="s">
        <v>195</v>
      </c>
      <c r="D18" s="7" t="s">
        <v>30</v>
      </c>
      <c r="E18" s="17" t="s">
        <v>221</v>
      </c>
      <c r="F18" s="7">
        <v>1</v>
      </c>
      <c r="G18" s="7">
        <v>1</v>
      </c>
      <c r="H18" s="7" t="s">
        <v>226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6.4793989999999999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>
      <c r="A19" s="22">
        <v>0</v>
      </c>
      <c r="B19" s="26" t="s">
        <v>241</v>
      </c>
      <c r="C19" s="7" t="s">
        <v>195</v>
      </c>
      <c r="D19" s="7" t="s">
        <v>30</v>
      </c>
      <c r="E19" s="17" t="s">
        <v>239</v>
      </c>
      <c r="F19" s="7">
        <v>1</v>
      </c>
      <c r="G19" s="7">
        <v>1</v>
      </c>
      <c r="H19" s="7" t="s">
        <v>226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7.75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</row>
    <row r="20" spans="1:60" s="7" customFormat="1">
      <c r="A20" s="22">
        <v>0</v>
      </c>
      <c r="B20" s="25" t="s">
        <v>240</v>
      </c>
      <c r="C20" s="7" t="s">
        <v>195</v>
      </c>
      <c r="D20" s="7" t="s">
        <v>30</v>
      </c>
      <c r="E20" s="17" t="s">
        <v>239</v>
      </c>
      <c r="F20" s="7">
        <v>0</v>
      </c>
      <c r="G20" s="7">
        <v>1</v>
      </c>
      <c r="H20" s="7" t="s">
        <v>226</v>
      </c>
      <c r="I20" s="7">
        <v>0</v>
      </c>
      <c r="J20" s="7">
        <v>0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100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</row>
    <row r="21" spans="1:60" s="7" customFormat="1" ht="16.5" customHeight="1">
      <c r="A21" s="22">
        <v>0</v>
      </c>
      <c r="B21" s="7" t="s">
        <v>220</v>
      </c>
      <c r="C21" s="7" t="s">
        <v>195</v>
      </c>
      <c r="D21" s="7" t="s">
        <v>30</v>
      </c>
      <c r="E21" s="7" t="s">
        <v>222</v>
      </c>
      <c r="F21" s="7">
        <v>1</v>
      </c>
      <c r="G21" s="7">
        <v>1</v>
      </c>
      <c r="H21" s="7" t="s">
        <v>226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4</v>
      </c>
      <c r="P21" s="7">
        <v>100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  <c r="BH21" s="7">
        <v>1</v>
      </c>
    </row>
    <row r="22" spans="1:60" s="7" customFormat="1" ht="17.25" customHeight="1">
      <c r="A22" s="22">
        <v>0</v>
      </c>
      <c r="B22" s="7" t="s">
        <v>230</v>
      </c>
      <c r="C22" s="7" t="s">
        <v>195</v>
      </c>
      <c r="D22" s="7" t="s">
        <v>30</v>
      </c>
      <c r="E22" s="7" t="s">
        <v>221</v>
      </c>
      <c r="F22" s="7">
        <v>1</v>
      </c>
      <c r="G22" s="7">
        <v>1</v>
      </c>
      <c r="H22" s="7" t="s">
        <v>226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4</v>
      </c>
      <c r="P22" s="7">
        <v>100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  <c r="BH22" s="7">
        <v>1</v>
      </c>
    </row>
    <row r="23" spans="1:60" s="7" customFormat="1">
      <c r="A23" s="22">
        <v>1</v>
      </c>
      <c r="B23" s="7" t="s">
        <v>247</v>
      </c>
      <c r="C23" s="7" t="s">
        <v>195</v>
      </c>
      <c r="D23" s="7" t="s">
        <v>30</v>
      </c>
      <c r="E23" s="7" t="s">
        <v>222</v>
      </c>
      <c r="F23" s="7">
        <v>1</v>
      </c>
      <c r="G23" s="7">
        <v>0</v>
      </c>
      <c r="H23" s="7" t="s">
        <v>225</v>
      </c>
      <c r="I23" s="7">
        <v>1</v>
      </c>
      <c r="J23" s="7">
        <v>1</v>
      </c>
      <c r="K23" s="7">
        <v>-1</v>
      </c>
      <c r="L23" s="7">
        <v>-1</v>
      </c>
      <c r="M23" s="7">
        <v>-1</v>
      </c>
      <c r="N23" s="7">
        <v>1</v>
      </c>
      <c r="O23" s="7">
        <v>5</v>
      </c>
      <c r="P23" s="7">
        <v>7.4793989999999999</v>
      </c>
      <c r="AY23" s="7">
        <v>0</v>
      </c>
      <c r="AZ23" s="7">
        <v>1</v>
      </c>
      <c r="BA23" s="7">
        <v>1</v>
      </c>
      <c r="BB23" s="7">
        <v>1</v>
      </c>
      <c r="BD23" s="7">
        <v>1</v>
      </c>
      <c r="BE23" s="7">
        <v>1</v>
      </c>
    </row>
    <row r="24" spans="1:60" s="7" customFormat="1">
      <c r="A24" s="22">
        <v>0</v>
      </c>
      <c r="B24" s="7" t="s">
        <v>232</v>
      </c>
      <c r="C24" s="7" t="s">
        <v>195</v>
      </c>
      <c r="D24" s="7" t="s">
        <v>30</v>
      </c>
      <c r="E24" s="7" t="s">
        <v>223</v>
      </c>
      <c r="F24" s="7">
        <v>1</v>
      </c>
      <c r="G24" s="7">
        <v>1</v>
      </c>
      <c r="H24" s="7" t="s">
        <v>225</v>
      </c>
      <c r="I24" s="7">
        <v>1</v>
      </c>
      <c r="J24" s="7">
        <v>1</v>
      </c>
      <c r="K24" s="7">
        <v>-1</v>
      </c>
      <c r="L24" s="7">
        <v>-1</v>
      </c>
      <c r="M24" s="7">
        <v>-1</v>
      </c>
      <c r="N24" s="7">
        <v>1</v>
      </c>
      <c r="O24" s="7">
        <v>5</v>
      </c>
      <c r="P24" s="7">
        <v>4.7911130000000002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>
      <c r="A25" s="22"/>
      <c r="B25" s="7"/>
      <c r="E25" s="7"/>
      <c r="P25" s="7"/>
      <c r="Q25" s="7"/>
      <c r="AY25" s="7"/>
      <c r="AZ25" s="7"/>
    </row>
    <row r="26" spans="1:60" s="7" customFormat="1">
      <c r="A26" s="22"/>
    </row>
    <row r="27" spans="1:60" s="7" customFormat="1">
      <c r="A27" s="22"/>
    </row>
    <row r="28" spans="1:60" s="7" customFormat="1">
      <c r="A28" s="22"/>
    </row>
    <row r="29" spans="1:60" s="7" customFormat="1">
      <c r="A29" s="22"/>
    </row>
    <row r="30" spans="1:60" s="7" customFormat="1">
      <c r="A30" s="22"/>
      <c r="E30" s="24"/>
    </row>
    <row r="31" spans="1:60" s="7" customFormat="1">
      <c r="A31" s="22"/>
    </row>
    <row r="32" spans="1:60" s="7" customFormat="1">
      <c r="A32" s="22"/>
    </row>
    <row r="33" spans="1:5" s="7" customFormat="1">
      <c r="A33" s="22"/>
    </row>
    <row r="34" spans="1:5" s="7" customFormat="1">
      <c r="A34" s="22"/>
    </row>
    <row r="35" spans="1:5" s="7" customFormat="1">
      <c r="A35" s="22"/>
    </row>
    <row r="36" spans="1:5" s="7" customFormat="1">
      <c r="A36" s="22"/>
    </row>
    <row r="37" spans="1:5" s="7" customFormat="1">
      <c r="A37" s="22"/>
    </row>
    <row r="38" spans="1:5" s="7" customFormat="1">
      <c r="A38" s="22"/>
    </row>
    <row r="39" spans="1:5" s="7" customFormat="1">
      <c r="A39" s="22"/>
    </row>
    <row r="40" spans="1:5" s="7" customFormat="1">
      <c r="A40" s="22"/>
    </row>
    <row r="41" spans="1:5" s="7" customFormat="1">
      <c r="A41" s="22"/>
    </row>
    <row r="42" spans="1:5" s="7" customFormat="1">
      <c r="A42" s="22"/>
    </row>
    <row r="43" spans="1:5" s="7" customFormat="1">
      <c r="A43" s="22"/>
      <c r="E43" s="17"/>
    </row>
    <row r="44" spans="1:5" s="7" customFormat="1">
      <c r="A44" s="22"/>
      <c r="E44" s="17"/>
    </row>
    <row r="45" spans="1:5" s="7" customFormat="1">
      <c r="A45" s="22"/>
    </row>
    <row r="46" spans="1:5" s="7" customFormat="1">
      <c r="A46" s="22"/>
    </row>
    <row r="47" spans="1:5" s="7" customFormat="1">
      <c r="A47" s="22"/>
    </row>
    <row r="48" spans="1:5" s="7" customFormat="1">
      <c r="A48" s="22"/>
    </row>
    <row r="49" spans="1:1" s="7" customFormat="1">
      <c r="A49" s="22"/>
    </row>
    <row r="50" spans="1:1" s="7" customFormat="1">
      <c r="A50" s="22"/>
    </row>
    <row r="51" spans="1:1" s="7" customFormat="1">
      <c r="A51" s="22"/>
    </row>
    <row r="52" spans="1:1" s="7" customFormat="1" ht="14.25" customHeight="1">
      <c r="A52" s="22"/>
    </row>
    <row r="53" spans="1:1" s="7" customFormat="1" ht="16.5" customHeight="1">
      <c r="A53" s="22"/>
    </row>
    <row r="54" spans="1:1" s="7" customFormat="1" ht="17.25" customHeight="1">
      <c r="A54" s="22"/>
    </row>
    <row r="55" spans="1:1" s="7" customFormat="1">
      <c r="A55" s="22"/>
    </row>
    <row r="56" spans="1:1" s="7" customFormat="1">
      <c r="A56" s="22"/>
    </row>
    <row r="57" spans="1:1" s="7" customFormat="1">
      <c r="A57" s="22"/>
    </row>
    <row r="58" spans="1:1" s="7" customFormat="1">
      <c r="A58" s="22"/>
    </row>
    <row r="59" spans="1:1" s="7" customFormat="1">
      <c r="A59" s="22"/>
    </row>
    <row r="60" spans="1:1" s="7" customFormat="1">
      <c r="A60" s="22"/>
    </row>
    <row r="61" spans="1:1" s="7" customFormat="1">
      <c r="A61" s="22"/>
    </row>
    <row r="62" spans="1:1" s="7" customFormat="1">
      <c r="A62" s="22"/>
    </row>
    <row r="63" spans="1:1" s="7" customFormat="1">
      <c r="A63" s="22"/>
    </row>
    <row r="64" spans="1:1" s="7" customFormat="1">
      <c r="A64" s="22"/>
    </row>
    <row r="65" spans="1:4" s="7" customFormat="1">
      <c r="A65" s="22"/>
    </row>
    <row r="66" spans="1:4" s="7" customFormat="1">
      <c r="A66" s="22"/>
    </row>
    <row r="67" spans="1:4" s="7" customFormat="1">
      <c r="A67" s="22"/>
    </row>
    <row r="68" spans="1:4" s="7" customFormat="1">
      <c r="A68" s="22"/>
    </row>
    <row r="69" spans="1:4" s="7" customFormat="1">
      <c r="A69" s="22"/>
    </row>
    <row r="70" spans="1:4" s="7" customFormat="1">
      <c r="A70" s="22"/>
    </row>
    <row r="71" spans="1:4" s="7" customFormat="1">
      <c r="A71" s="22"/>
    </row>
    <row r="72" spans="1:4" s="7" customFormat="1">
      <c r="A72" s="22"/>
    </row>
    <row r="73" spans="1:4" s="7" customFormat="1">
      <c r="A73" s="22"/>
    </row>
    <row r="74" spans="1:4" s="7" customFormat="1">
      <c r="A74" s="22"/>
    </row>
    <row r="75" spans="1:4" s="7" customFormat="1">
      <c r="A75" s="22"/>
    </row>
    <row r="76" spans="1:4" s="7" customFormat="1">
      <c r="A76" s="22"/>
    </row>
    <row r="77" spans="1:4">
      <c r="A77" s="22"/>
    </row>
    <row r="78" spans="1:4">
      <c r="A78" s="22"/>
    </row>
    <row r="79" spans="1:4">
      <c r="A79" s="22"/>
    </row>
    <row r="80" spans="1:4">
      <c r="A80" s="22"/>
    </row>
    <row r="81" spans="1:1">
      <c r="A81" s="22"/>
    </row>
    <row r="82" spans="1:1">
      <c r="A82" s="22"/>
    </row>
    <row r="83" spans="1:1">
      <c r="A83" s="22"/>
    </row>
    <row r="84" spans="1:1">
      <c r="A84" s="22"/>
    </row>
    <row r="85" spans="1:1">
      <c r="A85" s="22"/>
    </row>
    <row r="86" spans="1:1">
      <c r="A86" s="22"/>
    </row>
    <row r="87" spans="1:1">
      <c r="A87" s="22"/>
    </row>
    <row r="88" spans="1:1">
      <c r="A88" s="22"/>
    </row>
    <row r="89" spans="1:1">
      <c r="A89" s="22"/>
    </row>
    <row r="90" spans="1:1">
      <c r="A90" s="22"/>
    </row>
  </sheetData>
  <autoFilter ref="A9:BH76" xr:uid="{00000000-0001-0000-0E00-000000000000}"/>
  <sortState xmlns:xlrd2="http://schemas.microsoft.com/office/spreadsheetml/2017/richdata2" ref="A10:BH76">
    <sortCondition ref="B10:B76"/>
  </sortState>
  <mergeCells count="1">
    <mergeCell ref="R6:AE6"/>
  </mergeCells>
  <phoneticPr fontId="34" type="noConversion"/>
  <conditionalFormatting sqref="A77:A1048576 A1:A9">
    <cfRule type="iconSet" priority="757">
      <iconSet>
        <cfvo type="percent" val="0"/>
        <cfvo type="percent" val="33"/>
        <cfvo type="percent" val="67"/>
      </iconSet>
    </cfRule>
  </conditionalFormatting>
  <conditionalFormatting sqref="A10:A90">
    <cfRule type="iconSet" priority="9">
      <iconSet>
        <cfvo type="percent" val="0"/>
        <cfvo type="percent" val="33"/>
        <cfvo type="percent" val="67"/>
      </iconSet>
    </cfRule>
  </conditionalFormatting>
  <conditionalFormatting sqref="A13:A76">
    <cfRule type="iconSet" priority="56">
      <iconSet>
        <cfvo type="percent" val="0"/>
        <cfvo type="percent" val="33"/>
        <cfvo type="percent" val="67"/>
      </iconSet>
    </cfRule>
  </conditionalFormatting>
  <conditionalFormatting sqref="A72 A75">
    <cfRule type="iconSet" priority="38">
      <iconSet>
        <cfvo type="percent" val="0"/>
        <cfvo type="percent" val="33"/>
        <cfvo type="percent" val="67"/>
      </iconSet>
    </cfRule>
  </conditionalFormatting>
  <conditionalFormatting sqref="A73 A76">
    <cfRule type="iconSet" priority="32">
      <iconSet>
        <cfvo type="percent" val="0"/>
        <cfvo type="percent" val="33"/>
        <cfvo type="percent" val="67"/>
      </iconSet>
    </cfRule>
  </conditionalFormatting>
  <conditionalFormatting sqref="A72:A76">
    <cfRule type="iconSet" priority="26">
      <iconSet>
        <cfvo type="percent" val="0"/>
        <cfvo type="percent" val="33"/>
        <cfvo type="percent" val="67"/>
      </iconSet>
    </cfRule>
  </conditionalFormatting>
  <conditionalFormatting sqref="A72:A76">
    <cfRule type="iconSet" priority="25">
      <iconSet>
        <cfvo type="percent" val="0"/>
        <cfvo type="percent" val="33"/>
        <cfvo type="percent" val="67"/>
      </iconSet>
    </cfRule>
  </conditionalFormatting>
  <conditionalFormatting sqref="A72:A76">
    <cfRule type="iconSet" priority="24">
      <iconSet>
        <cfvo type="percent" val="0"/>
        <cfvo type="percent" val="33"/>
        <cfvo type="percent" val="67"/>
      </iconSet>
    </cfRule>
  </conditionalFormatting>
  <conditionalFormatting sqref="A72:A76">
    <cfRule type="iconSet" priority="23">
      <iconSet>
        <cfvo type="percent" val="0"/>
        <cfvo type="percent" val="33"/>
        <cfvo type="percent" val="67"/>
      </iconSet>
    </cfRule>
  </conditionalFormatting>
  <conditionalFormatting sqref="A72:A76">
    <cfRule type="iconSet" priority="22">
      <iconSet>
        <cfvo type="percent" val="0"/>
        <cfvo type="percent" val="33"/>
        <cfvo type="percent" val="67"/>
      </iconSet>
    </cfRule>
  </conditionalFormatting>
  <conditionalFormatting sqref="A72:A76">
    <cfRule type="iconSet" priority="27">
      <iconSet>
        <cfvo type="percent" val="0"/>
        <cfvo type="percent" val="33"/>
        <cfvo type="percent" val="67"/>
      </iconSet>
    </cfRule>
  </conditionalFormatting>
  <conditionalFormatting sqref="A13:A76">
    <cfRule type="iconSet" priority="809">
      <iconSet>
        <cfvo type="percent" val="0"/>
        <cfvo type="percent" val="33"/>
        <cfvo type="percent" val="67"/>
      </iconSet>
    </cfRule>
  </conditionalFormatting>
  <conditionalFormatting sqref="A13:A76">
    <cfRule type="iconSet" priority="817">
      <iconSet>
        <cfvo type="percent" val="0"/>
        <cfvo type="percent" val="33"/>
        <cfvo type="percent" val="67"/>
      </iconSet>
    </cfRule>
  </conditionalFormatting>
  <conditionalFormatting sqref="A13:A76">
    <cfRule type="iconSet" priority="823">
      <iconSet>
        <cfvo type="percent" val="0"/>
        <cfvo type="percent" val="33"/>
        <cfvo type="percent" val="67"/>
      </iconSet>
    </cfRule>
  </conditionalFormatting>
  <conditionalFormatting sqref="A11">
    <cfRule type="iconSet" priority="14">
      <iconSet>
        <cfvo type="percent" val="0"/>
        <cfvo type="percent" val="33"/>
        <cfvo type="percent" val="67"/>
      </iconSet>
    </cfRule>
  </conditionalFormatting>
  <conditionalFormatting sqref="A30">
    <cfRule type="iconSet" priority="13">
      <iconSet>
        <cfvo type="percent" val="0"/>
        <cfvo type="percent" val="33"/>
        <cfvo type="percent" val="67"/>
      </iconSet>
    </cfRule>
  </conditionalFormatting>
  <conditionalFormatting sqref="A31">
    <cfRule type="iconSet" priority="12">
      <iconSet>
        <cfvo type="percent" val="0"/>
        <cfvo type="percent" val="33"/>
        <cfvo type="percent" val="67"/>
      </iconSet>
    </cfRule>
  </conditionalFormatting>
  <conditionalFormatting sqref="A10:A76">
    <cfRule type="iconSet" priority="11">
      <iconSet>
        <cfvo type="percent" val="0"/>
        <cfvo type="percent" val="33"/>
        <cfvo type="percent" val="67"/>
      </iconSet>
    </cfRule>
  </conditionalFormatting>
  <conditionalFormatting sqref="A13:A76">
    <cfRule type="iconSet" priority="10">
      <iconSet>
        <cfvo type="percent" val="0"/>
        <cfvo type="percent" val="33"/>
        <cfvo type="percent" val="67"/>
      </iconSet>
    </cfRule>
  </conditionalFormatting>
  <conditionalFormatting sqref="A17:A20">
    <cfRule type="iconSet" priority="2">
      <iconSet>
        <cfvo type="percent" val="0"/>
        <cfvo type="percent" val="33"/>
        <cfvo type="percent" val="67"/>
      </iconSet>
    </cfRule>
  </conditionalFormatting>
  <conditionalFormatting sqref="A17:A20">
    <cfRule type="iconSet" priority="5">
      <iconSet>
        <cfvo type="percent" val="0"/>
        <cfvo type="percent" val="33"/>
        <cfvo type="percent" val="67"/>
      </iconSet>
    </cfRule>
  </conditionalFormatting>
  <conditionalFormatting sqref="A17:A20">
    <cfRule type="iconSet" priority="6">
      <iconSet>
        <cfvo type="percent" val="0"/>
        <cfvo type="percent" val="33"/>
        <cfvo type="percent" val="67"/>
      </iconSet>
    </cfRule>
  </conditionalFormatting>
  <conditionalFormatting sqref="A17:A20">
    <cfRule type="iconSet" priority="7">
      <iconSet>
        <cfvo type="percent" val="0"/>
        <cfvo type="percent" val="33"/>
        <cfvo type="percent" val="67"/>
      </iconSet>
    </cfRule>
  </conditionalFormatting>
  <conditionalFormatting sqref="A17:A20">
    <cfRule type="iconSet" priority="8">
      <iconSet>
        <cfvo type="percent" val="0"/>
        <cfvo type="percent" val="33"/>
        <cfvo type="percent" val="67"/>
      </iconSet>
    </cfRule>
  </conditionalFormatting>
  <conditionalFormatting sqref="A17:A20">
    <cfRule type="iconSet" priority="4">
      <iconSet>
        <cfvo type="percent" val="0"/>
        <cfvo type="percent" val="33"/>
        <cfvo type="percent" val="67"/>
      </iconSet>
    </cfRule>
  </conditionalFormatting>
  <conditionalFormatting sqref="A17:A20">
    <cfRule type="iconSet" priority="3">
      <iconSet>
        <cfvo type="percent" val="0"/>
        <cfvo type="percent" val="33"/>
        <cfvo type="percent" val="67"/>
      </iconSet>
    </cfRule>
  </conditionalFormatting>
  <conditionalFormatting sqref="A10:A24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7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2022-06-06T08:32:25Z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