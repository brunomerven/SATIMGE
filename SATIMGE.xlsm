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69DF1DFC-C737-4D0C-B920-339EB67DF3D3}" xr6:coauthVersionLast="47" xr6:coauthVersionMax="47" xr10:uidLastSave="{00000000-0000-0000-0000-000000000000}"/>
  <bookViews>
    <workbookView xWindow="2385" yWindow="615" windowWidth="25605" windowHeight="1432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2" r:id="rId9"/>
    <pivotCache cacheId="3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4" l="1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<sst xmlns="http://schemas.openxmlformats.org/spreadsheetml/2006/main" count="572" uniqueCount="250">
  <si>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</si>
  <si>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</si>
  <si>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</si>
  <si>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</si>
  <si>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</si>
  <si>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</si>
  <si>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</si>
  <si>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</si>
  <si>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</si>
  <si>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</si>
  <si>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</si>
  <si>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</si>
  <si>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</si>
  <si>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</si>
  <si>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</si>
  <si>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</si>
  <si>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</si>
  <si>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</si>
  <si>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</si>
  <si>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</si>
  <si>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</si>
  <si>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</si>
  <si>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</si>
  <si>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</si>
  <si>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</si>
  <si>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</si>
  <si>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</si>
  <si>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</si>
  <si>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</si>
  <si>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</si>
  <si>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</si>
  <si>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</si>
  <si>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</si>
  <si>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</si>
  <si>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</si>
  <si>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</si>
  <si>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</si>
  <si>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</si>
  <si>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</si>
  <si>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</si>
  <si>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</si>
  <si>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</si>
  <si>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</si>
  <si>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</si>
  <si>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</si>
  <si>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</si>
  <si>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</si>
  <si>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</si>
  <si>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</si>
  <si>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</si>
  <si>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</si>
  <si>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</si>
  <si>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</si>
  <si>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</si>
  <si>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</si>
  <si>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</si>
  <si>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</si>
  <si>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</si>
  <si>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</si>
  <si>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</si>
  <si>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</si>
  <si>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</si>
  <si>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</si>
  <si>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</si>
  <si>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</si>
  <si>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</si>
  <si>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</si>
  <si>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</si>
  <si>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</si>
  <si>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</si>
  <si>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</si>
  <si>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</si>
  <si>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</si>
  <si>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</si>
  <si>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</si>
  <si>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</si>
  <si>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</si>
  <si>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</si>
  <si>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</si>
  <si>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</si>
  <si>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</si>
  <si>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</si>
  <si>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</si>
  <si>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</si>
  <si>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</si>
  <si>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</si>
  <si>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</si>
  <si>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</si>
  <si>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</si>
  <si>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</si>
  <si>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</si>
  <si>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</si>
  <si>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</si>
  <si>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</si>
  <si>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</si>
  <si>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</si>
  <si>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</si>
  <si>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</si>
  <si>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</si>
  <si>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</si>
  <si>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</si>
  <si>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</si>
  <si>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</si>
  <si>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</si>
  <si>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</si>
  <si>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</si>
  <si>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</si>
  <si>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</si>
  <si>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</si>
  <si>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</si>
  <si>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</si>
  <si>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</si>
  <si>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</si>
  <si>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</si>
  <si>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</si>
  <si>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</si>
  <si>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</si>
  <si>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</si>
  <si>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</si>
  <si>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</si>
  <si>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</si>
  <si>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</si>
  <si>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</si>
  <si>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</si>
  <si>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</si>
  <si>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</si>
  <si>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</si>
  <si>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</si>
  <si>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</si>
  <si>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</si>
  <si>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</si>
  <si>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</si>
  <si>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</si>
  <si>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</si>
  <si>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</si>
  <si>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</si>
  <si>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</si>
  <si>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</si>
  <si>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</si>
  <si>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</si>
  <si>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</si>
  <si>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</si>
  <si>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</si>
  <si>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</si>
  <si>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</si>
  <si>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</si>
  <si>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</si>
  <si>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</si>
  <si>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</si>
  <si>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</si>
  <si>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</si>
  <si>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</si>
  <si>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</si>
  <si>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</si>
  <si>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</si>
  <si>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</si>
  <si>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</si>
  <si>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</si>
  <si>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</si>
  <si>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</si>
  <si>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</si>
  <si>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</si>
  <si>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</si>
  <si>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</si>
  <si>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</si>
  <si>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</si>
  <si>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</si>
  <si>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</si>
  <si>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</si>
  <si>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</si>
  <si>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</si>
  <si>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</si>
  <si>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</si>
  <si>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</si>
  <si>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</si>
  <si>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</si>
  <si>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</si>
  <si>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</si>
  <si>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</si>
  <si>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</si>
  <si>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</si>
  <si>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</si>
  <si>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</si>
  <si>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</si>
  <si>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</si>
  <si>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</si>
  <si>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</si>
  <si>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</si>
  <si>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</si>
  <si>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</si>
  <si>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</si>
  <si>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</si>
  <si>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</si>
  <si>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</si>
  <si>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</si>
  <si>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</si>
  <si>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</si>
  <si>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</si>
  <si>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</si>
  <si>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</si>
  <si>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</si>
  <si>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</si>
  <si>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</si>
  <si>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</si>
  <si>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</si>
  <si>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</si>
  <si>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</si>
  <si>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</si>
  <si>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</si>
  <si>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</si>
  <si>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</si>
  <si>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</si>
  <si>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</si>
  <si>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</si>
  <si>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</si>
  <si>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</si>
  <si>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</si>
  <si>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</si>
  <si>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</si>
  <si>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</si>
  <si>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</si>
  <si>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</si>
  <si>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</si>
  <si>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</si>
  <si>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</si>
  <si>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</si>
  <si>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</si>
  <si>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</si>
  <si>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</si>
  <si>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</si>
  <si>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</si>
  <si>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</si>
  <si>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</si>
  <si>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</si>
  <si>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</si>
  <si>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</si>
  <si>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</si>
  <si>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</si>
  <si>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</si>
  <si>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</si>
  <si>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</si>
  <si>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</si>
  <si>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</si>
  <si>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</si>
  <si>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</si>
  <si>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</si>
  <si>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</si>
  <si>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0RG_NZ20_9</t>
  </si>
  <si>
    <t>SATIM Active</t>
  </si>
  <si>
    <t>TTIMES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</si>
</sst>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21.547871527779" createdVersion="6" refreshedVersion="8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20_9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WE"/>
        <s v="NZ-20NENH"/>
        <s v="NZ-20WENH"/>
        <s v="NZ-20NE"/>
        <s v="CP20NEWH"/>
        <s v="NZ-45WE"/>
        <m/>
        <s v="NOPAMS_LEAF" u="1"/>
        <s v="CO2ACAP280" u="1"/>
        <s v="NOPAMSFGDB2" u="1"/>
        <s v="NZ-REF-FC" u="1"/>
        <s v="NOPAMSFGDB3" u="1"/>
        <s v="NZ-REF-FCOC" u="1"/>
        <s v="NZ-CO2S_TEST" u="1"/>
        <s v="HPAMSREPROG" u="1"/>
        <s v="NOPAMSCAPFCH" u="1"/>
        <s v="NOPAMSCAPIRP" u="1"/>
        <s v="NOPAMSCAPCR2" u="1"/>
        <s v="CPAMSREPROGHG" u="1"/>
        <s v="CPAMSNOIRPLE" u="1"/>
        <s v="NZ-45NE" u="1"/>
        <s v="NZ-REF-OC" u="1"/>
        <s v="CPAMSNOIRP" u="1"/>
        <s v="NZ-20HE" u="1"/>
        <s v="NZ-20NELD" u="1"/>
        <s v="NOPAMSCAPCRE" u="1"/>
        <s v="NZ-REF-10P" u="1"/>
        <s v="NOPAMSIRP" u="1"/>
        <s v="NOPAMSLOP" u="1"/>
        <s v="IRPRE-05P" u="1"/>
        <s v="LPAMSMRETG" u="1"/>
        <s v="IRPRE-25P" u="1"/>
        <s v="NZ-20_IP_WE" u="1"/>
        <s v="NZ-20NENH-08" u="1"/>
        <s v="NOPAMS_NDP" u="1"/>
        <s v="NOPAMS_NF" u="1"/>
        <s v="NOPAMSREFWE" u="1"/>
        <s v="NOPAMSCAP2" u="1"/>
        <s v="NZ-20NE-08" u="1"/>
        <s v="CPAMSMRELEAF" u="1"/>
        <s v="NOPAMSCAP" u="1"/>
        <s v="NOPAMSCAPOC" u="1"/>
        <s v="CPAMSCAP" u="1"/>
        <s v="NOPAMSFCTG" u="1"/>
        <s v="PA20NENCP" u="1"/>
        <s v="NOPAMSFGDAIL" u="1"/>
        <s v="NZ-CO2S_20_5" u="1"/>
        <s v="RUNZERO" u="1"/>
        <s v="CPM20NEWH" u="1"/>
        <s v="NOPAMCAPIRPN" u="1"/>
        <s v="CPAMSREPROGTG" u="1"/>
        <s v="CPAMSRE" u="1"/>
        <s v="RUNCOAL" u="1"/>
        <s v="CPAMSREPROG" u="1"/>
        <s v="NOPAMSMRE_LE" u="1"/>
        <s v="NOPAMSRE_LE" u="1"/>
        <s v="CPAMSREPROTG" u="1"/>
        <s v="NOPAMSREF0TX" u="1"/>
        <s v="HPAMSIRP" u="1"/>
        <s v="CPAMSCAPIRP" u="1"/>
        <s v="LPAMSMRE" u="1"/>
        <s v="CPAMS_NDP" u="1"/>
        <s v="NZ-45_IP_NE" u="1"/>
        <s v="NOPAMSFGDC1" u="1"/>
        <s v="NZ-REF-25P" u="1"/>
        <s v="CO2ACAP350" u="1"/>
        <s v="NOPAMSFGDC2" u="1"/>
        <s v="CPAMSIRPTG" u="1"/>
        <s v="NOPAMSFGDC3" u="1"/>
        <s v="IRPRE-10P" u="1"/>
        <s v="CPAMSMRETG" u="1"/>
        <s v="IRPRE" u="1"/>
        <s v="NOPAMSFC" u="1"/>
        <s v="NZ-CO2S2050" u="1"/>
        <s v="NOPAMSFCHG" u="1"/>
        <s v="NZ-20WENH-08" u="1"/>
        <s v="IRPRE-50P" u="1"/>
        <s v="NZ-20WE-TEST" u="1"/>
        <s v="NOPAMSCAPHE" u="1"/>
        <s v="NZ-REF-50P" u="1"/>
        <s v="CPAMSRE_LEAF" u="1"/>
        <s v="CPAMSCAPIRPL" u="1"/>
        <s v="NOPAMSFGDA" u="1"/>
        <s v="NZ-20WE-08" u="1"/>
        <s v="NZ-CO2S_20_T" u="1"/>
        <s v="NZ-CO2S_45DR" u="1"/>
        <s v="NOPAMS_T" u="1"/>
        <s v="NZ-20_IP_NE" u="1"/>
        <s v="NZ-CO2S_20DR" u="1"/>
        <s v="LPAMSFC" u="1"/>
        <s v="CPAMSIRP" u="1"/>
        <s v="NOPAMSCAPFC" u="1"/>
        <s v="CPAMSMRE" u="1"/>
        <s v="NZ-REF-05P" u="1"/>
        <s v="CPAMSCAPFC" u="1"/>
        <s v="CPAMSMRE_LEAF" u="1"/>
        <s v="NOPAMS" u="1"/>
        <s v="IRP-25P" u="1"/>
        <s v="NOPAMS_EXP" u="1"/>
        <s v="NZ-REF" u="1"/>
        <s v="NZ-CO2S2050B" u="1"/>
        <s v="NZ-REF-01P" u="1"/>
        <s v="IRPRE-01P" u="1"/>
        <s v="PAMSREF" u="1"/>
        <s v="CPM20NE" u="1"/>
        <s v="NZ-20NENCP" u="1"/>
        <s v="NOPAMS_EXP2" u="1"/>
        <s v="NZ-CO2S_45" u="1"/>
        <s v="NOPAMSREF1HG" u="1"/>
        <s v="NOPAMS_EXP3" u="1"/>
        <s v="NOPAMS_NF_LF" u="1"/>
        <s v="EECAP" u="1"/>
        <s v="CPAMSRETG" u="1"/>
        <s v="NOPAMCAPIRPF" u="1"/>
        <s v="NZ-CO2S_20_NE" u="1"/>
        <s v="NZ-CO2S_20" u="1"/>
        <s v="NOPAMS_EXP4" u="1"/>
        <s v="NOPAMSCAP10" u="1"/>
        <s v="LPAMSMREP" u="1"/>
        <s v="NOPAMSCAPFCO" u="1"/>
        <s v="NZ-CO2S_20NE" u="1"/>
        <s v="CPAMSCAPIRPN" u="1"/>
        <s v="LPAMS" u="1"/>
        <s v="CPAMS_LEAF" u="1"/>
        <s v="NOPAMCAPIRPL" u="1"/>
        <s v="CPAMSCP" u="1"/>
        <s v="NZ-20WE-TMP" u="1"/>
        <s v="NZ-45_IP_WE" u="1"/>
        <s v="NOPAMSFGDB1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21.547873495372" createdVersion="6" refreshedVersion="8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20_9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1"/>
    <x v="13"/>
    <s v="yes tested"/>
    <x v="0"/>
    <x v="6"/>
    <n v="0"/>
    <n v="1"/>
    <s v="NZ_nopams_45afolu"/>
    <n v="1"/>
    <n v="1"/>
    <n v="-1"/>
    <n v="-1"/>
    <n v="-1"/>
    <n v="1"/>
    <n v="5"/>
    <n v="7.4793989999999999"/>
  </r>
  <r>
    <n v="0"/>
    <x v="14"/>
    <s v="yes tested"/>
    <x v="0"/>
    <x v="8"/>
    <n v="1"/>
    <n v="1"/>
    <s v="NZ_nopams_45afolu"/>
    <n v="1"/>
    <n v="1"/>
    <n v="-1"/>
    <n v="-1"/>
    <n v="-1"/>
    <n v="1"/>
    <n v="5"/>
    <n v="4.7911130000000002"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13"/>
    <s v="yes tested"/>
    <s v="base"/>
    <s v="NZ-20NE"/>
    <n v="0"/>
    <n v="1"/>
    <s v="NZ_nopams_45afolu"/>
    <n v="1"/>
    <n v="1"/>
    <n v="-1"/>
    <n v="-1"/>
    <n v="-1"/>
    <n v="1"/>
    <n v="5"/>
    <n v="7.4793989999999999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2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50"/>
        <item m="1" x="93"/>
        <item m="1" x="56"/>
        <item x="9"/>
        <item m="1" x="55"/>
        <item m="1" x="77"/>
        <item m="1" x="61"/>
        <item m="1" x="99"/>
        <item m="1" x="75"/>
        <item m="1" x="70"/>
        <item m="1" x="46"/>
        <item m="1" x="53"/>
        <item m="1" x="21"/>
        <item m="1" x="17"/>
        <item m="1" x="92"/>
        <item m="1" x="59"/>
        <item m="1" x="25"/>
        <item m="1" x="95"/>
        <item m="1" x="54"/>
        <item m="1" x="115"/>
        <item m="1" x="125"/>
        <item m="1" x="121"/>
        <item m="1" x="63"/>
        <item m="1" x="33"/>
        <item m="1" x="73"/>
        <item m="1" x="37"/>
        <item m="1" x="64"/>
        <item m="1" x="10"/>
        <item m="1" x="83"/>
        <item m="1" x="126"/>
        <item m="1" x="31"/>
        <item m="1" x="30"/>
        <item m="1" x="120"/>
        <item m="1" x="43"/>
        <item m="1" x="57"/>
        <item m="1" x="58"/>
        <item m="1" x="22"/>
        <item m="1" x="98"/>
        <item m="1" x="42"/>
        <item m="1" x="128"/>
        <item m="1" x="45"/>
        <item m="1" x="101"/>
        <item m="1" x="109"/>
        <item m="1" x="112"/>
        <item m="1" x="119"/>
        <item m="1" x="38"/>
        <item m="1" x="113"/>
        <item m="1" x="89"/>
        <item m="1" x="102"/>
        <item m="1" x="76"/>
        <item m="1" x="24"/>
        <item m="1" x="13"/>
        <item m="1" x="15"/>
        <item m="1" x="74"/>
        <item m="1" x="100"/>
        <item m="1" x="34"/>
        <item m="1" x="79"/>
        <item m="1" x="67"/>
        <item m="1" x="82"/>
        <item m="1" x="104"/>
        <item m="1" x="96"/>
        <item m="1" x="29"/>
        <item m="1" x="105"/>
        <item m="1" x="32"/>
        <item m="1" x="72"/>
        <item m="1" x="11"/>
        <item m="1" x="68"/>
        <item m="1" x="62"/>
        <item m="1" x="84"/>
        <item m="1" x="114"/>
        <item m="1" x="19"/>
        <item m="1" x="124"/>
        <item m="1" x="52"/>
        <item m="1" x="127"/>
        <item m="1" x="94"/>
        <item m="1" x="97"/>
        <item m="1" x="116"/>
        <item m="1" x="85"/>
        <item m="1" x="131"/>
        <item m="1" x="12"/>
        <item m="1" x="14"/>
        <item m="1" x="66"/>
        <item m="1" x="69"/>
        <item m="1" x="71"/>
        <item m="1" x="48"/>
        <item m="1" x="81"/>
        <item m="1" x="18"/>
        <item m="1" x="44"/>
        <item m="1" x="122"/>
        <item m="1" x="103"/>
        <item m="1" x="28"/>
        <item m="1" x="20"/>
        <item m="1" x="40"/>
        <item x="0"/>
        <item m="1" x="118"/>
        <item m="1" x="60"/>
        <item m="1" x="91"/>
        <item m="1" x="110"/>
        <item m="1" x="88"/>
        <item m="1" x="49"/>
        <item m="1" x="87"/>
        <item m="1" x="16"/>
        <item m="1" x="117"/>
        <item m="1" x="123"/>
        <item m="1" x="27"/>
        <item m="1" x="26"/>
        <item x="3"/>
        <item x="6"/>
        <item m="1" x="80"/>
        <item m="1" x="23"/>
        <item m="1" x="39"/>
        <item x="8"/>
        <item m="1" x="111"/>
        <item m="1" x="65"/>
        <item m="1" x="90"/>
        <item m="1" x="35"/>
        <item m="1" x="130"/>
        <item m="1" x="106"/>
        <item x="1"/>
        <item m="1" x="86"/>
        <item m="1" x="129"/>
        <item m="1" x="41"/>
        <item m="1" x="36"/>
        <item m="1" x="78"/>
        <item x="4"/>
        <item x="5"/>
        <item m="1" x="108"/>
        <item m="1" x="47"/>
        <item m="1" x="107"/>
        <item m="1" x="51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1"/>
    </i>
    <i>
      <x v="7"/>
      <x v="118"/>
    </i>
    <i>
      <x v="8"/>
      <x v="124"/>
    </i>
    <i>
      <x v="9"/>
      <x v="125"/>
    </i>
    <i>
      <x v="10"/>
      <x v="130"/>
    </i>
    <i>
      <x v="11"/>
      <x v="130"/>
    </i>
    <i>
      <x v="12"/>
      <x v="107"/>
    </i>
    <i>
      <x v="13"/>
      <x v="106"/>
    </i>
    <i>
      <x v="14"/>
      <x v="93"/>
    </i>
    <i>
      <x v="15"/>
      <x v="131"/>
    </i>
    <i>
      <x v="16"/>
      <x v="10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6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50"/>
        <item m="1" x="93"/>
        <item m="1" x="56"/>
        <item x="9"/>
        <item m="1" x="55"/>
        <item m="1" x="77"/>
        <item m="1" x="61"/>
        <item m="1" x="99"/>
        <item m="1" x="75"/>
        <item m="1" x="70"/>
        <item m="1" x="46"/>
        <item m="1" x="53"/>
        <item m="1" x="21"/>
        <item m="1" x="17"/>
        <item m="1" x="92"/>
        <item m="1" x="59"/>
        <item m="1" x="25"/>
        <item m="1" x="95"/>
        <item m="1" x="54"/>
        <item m="1" x="115"/>
        <item m="1" x="125"/>
        <item m="1" x="121"/>
        <item m="1" x="63"/>
        <item m="1" x="33"/>
        <item m="1" x="73"/>
        <item m="1" x="37"/>
        <item m="1" x="64"/>
        <item m="1" x="10"/>
        <item m="1" x="83"/>
        <item m="1" x="126"/>
        <item m="1" x="31"/>
        <item m="1" x="30"/>
        <item m="1" x="120"/>
        <item m="1" x="43"/>
        <item m="1" x="57"/>
        <item m="1" x="58"/>
        <item m="1" x="22"/>
        <item m="1" x="98"/>
        <item m="1" x="42"/>
        <item m="1" x="128"/>
        <item m="1" x="45"/>
        <item m="1" x="101"/>
        <item m="1" x="109"/>
        <item m="1" x="112"/>
        <item m="1" x="119"/>
        <item m="1" x="38"/>
        <item m="1" x="113"/>
        <item m="1" x="89"/>
        <item m="1" x="102"/>
        <item m="1" x="76"/>
        <item m="1" x="24"/>
        <item m="1" x="13"/>
        <item m="1" x="15"/>
        <item m="1" x="74"/>
        <item m="1" x="100"/>
        <item m="1" x="34"/>
        <item m="1" x="79"/>
        <item m="1" x="67"/>
        <item m="1" x="82"/>
        <item m="1" x="104"/>
        <item m="1" x="96"/>
        <item m="1" x="29"/>
        <item m="1" x="105"/>
        <item m="1" x="32"/>
        <item m="1" x="72"/>
        <item m="1" x="11"/>
        <item m="1" x="68"/>
        <item m="1" x="62"/>
        <item m="1" x="84"/>
        <item m="1" x="114"/>
        <item m="1" x="19"/>
        <item m="1" x="124"/>
        <item m="1" x="52"/>
        <item m="1" x="127"/>
        <item m="1" x="94"/>
        <item m="1" x="97"/>
        <item m="1" x="116"/>
        <item m="1" x="85"/>
        <item m="1" x="131"/>
        <item m="1" x="12"/>
        <item m="1" x="14"/>
        <item m="1" x="66"/>
        <item m="1" x="69"/>
        <item m="1" x="71"/>
        <item m="1" x="48"/>
        <item m="1" x="81"/>
        <item m="1" x="18"/>
        <item m="1" x="44"/>
        <item m="1" x="122"/>
        <item m="1" x="103"/>
        <item m="1" x="28"/>
        <item m="1" x="20"/>
        <item m="1" x="40"/>
        <item x="0"/>
        <item m="1" x="118"/>
        <item m="1" x="60"/>
        <item m="1" x="91"/>
        <item m="1" x="110"/>
        <item m="1" x="88"/>
        <item m="1" x="49"/>
        <item m="1" x="87"/>
        <item m="1" x="16"/>
        <item m="1" x="117"/>
        <item m="1" x="123"/>
        <item m="1" x="27"/>
        <item m="1" x="26"/>
        <item x="3"/>
        <item x="6"/>
        <item m="1" x="80"/>
        <item m="1" x="23"/>
        <item m="1" x="39"/>
        <item x="8"/>
        <item m="1" x="111"/>
        <item m="1" x="65"/>
        <item m="1" x="90"/>
        <item m="1" x="35"/>
        <item m="1" x="130"/>
        <item m="1" x="106"/>
        <item x="1"/>
        <item m="1" x="86"/>
        <item m="1" x="129"/>
        <item m="1" x="41"/>
        <item m="1" x="36"/>
        <item m="1" x="78"/>
        <item x="4"/>
        <item x="5"/>
        <item m="1" x="108"/>
        <item m="1" x="47"/>
        <item m="1" x="107"/>
        <item m="1" x="51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 v="3"/>
    </i>
    <i>
      <x v="93"/>
    </i>
    <i>
      <x v="106"/>
    </i>
    <i>
      <x v="107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5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4"/>
        <item x="7"/>
        <item x="5"/>
        <item x="8"/>
        <item x="6"/>
        <item x="13"/>
        <item x="11"/>
        <item x="12"/>
        <item x="14"/>
        <item x="2"/>
        <item x="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"/>
        <item x="5"/>
        <item x="6"/>
        <item x="10"/>
        <item x="9"/>
        <item x="7"/>
        <item x="8"/>
        <item x="2"/>
        <item x="3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21" sqref="C21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249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F5" sqref="AF5:AF33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248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249</v>
      </c>
      <c r="AH6" s="7"/>
    </row>
    <row r="7" spans="1:39">
      <c r="A7" s="13" t="s">
        <v>240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241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224</v>
      </c>
      <c r="B9" s="13" t="s">
        <v>221</v>
      </c>
      <c r="C9" s="13" t="s">
        <v>32</v>
      </c>
      <c r="D9"/>
      <c r="E9" s="13" t="s">
        <v>224</v>
      </c>
      <c r="F9" s="3">
        <v>0</v>
      </c>
      <c r="G9" s="13" t="s">
        <v>224</v>
      </c>
      <c r="H9" s="3">
        <v>0</v>
      </c>
      <c r="I9" s="13" t="s">
        <v>224</v>
      </c>
      <c r="J9" s="3">
        <v>1</v>
      </c>
      <c r="K9" s="13" t="s">
        <v>224</v>
      </c>
      <c r="L9" s="3">
        <v>0</v>
      </c>
      <c r="M9" s="13" t="s">
        <v>224</v>
      </c>
      <c r="N9" s="3">
        <v>0</v>
      </c>
      <c r="O9" s="7" t="s">
        <v>224</v>
      </c>
      <c r="P9" s="7" t="s">
        <v>219</v>
      </c>
      <c r="Q9" s="7" t="s">
        <v>224</v>
      </c>
      <c r="R9" s="7" t="s">
        <v>30</v>
      </c>
      <c r="S9" s="13" t="s">
        <v>224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224</v>
      </c>
      <c r="AB9" s="3">
        <v>100</v>
      </c>
      <c r="AC9" s="3"/>
      <c r="AD9" s="14">
        <v>2021</v>
      </c>
      <c r="AE9" s="14" t="str">
        <f>IF(OR(AE8=2050,AE8=""),"",AE8+1)</f>
        <v/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233</v>
      </c>
      <c r="B10" s="13" t="s">
        <v>222</v>
      </c>
      <c r="C10" s="13" t="s">
        <v>46</v>
      </c>
      <c r="D10"/>
      <c r="E10" s="13" t="s">
        <v>230</v>
      </c>
      <c r="F10" s="3">
        <v>0</v>
      </c>
      <c r="G10" s="13" t="s">
        <v>230</v>
      </c>
      <c r="H10" s="3">
        <v>1</v>
      </c>
      <c r="I10" s="13" t="s">
        <v>230</v>
      </c>
      <c r="J10" s="3">
        <v>1</v>
      </c>
      <c r="K10" s="13" t="s">
        <v>230</v>
      </c>
      <c r="L10" s="3">
        <v>1</v>
      </c>
      <c r="M10" s="13" t="s">
        <v>230</v>
      </c>
      <c r="N10" s="3">
        <v>1</v>
      </c>
      <c r="O10" s="7" t="s">
        <v>230</v>
      </c>
      <c r="P10" s="7" t="s">
        <v>221</v>
      </c>
      <c r="Q10" s="7" t="s">
        <v>230</v>
      </c>
      <c r="R10" s="7" t="s">
        <v>30</v>
      </c>
      <c r="S10" s="13" t="s">
        <v>230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230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231</v>
      </c>
      <c r="B11" s="13" t="s">
        <v>223</v>
      </c>
      <c r="C11" s="13" t="s">
        <v>47</v>
      </c>
      <c r="D11"/>
      <c r="E11" s="13" t="s">
        <v>231</v>
      </c>
      <c r="F11" s="3">
        <v>0</v>
      </c>
      <c r="G11" s="13" t="s">
        <v>231</v>
      </c>
      <c r="H11" s="3">
        <v>1</v>
      </c>
      <c r="I11" s="13" t="s">
        <v>231</v>
      </c>
      <c r="J11" s="3">
        <v>1</v>
      </c>
      <c r="K11" s="13" t="s">
        <v>231</v>
      </c>
      <c r="L11" s="3">
        <v>1</v>
      </c>
      <c r="M11" s="13" t="s">
        <v>231</v>
      </c>
      <c r="N11" s="3">
        <v>1</v>
      </c>
      <c r="O11" s="7" t="s">
        <v>231</v>
      </c>
      <c r="P11" s="7" t="s">
        <v>221</v>
      </c>
      <c r="Q11" s="7" t="s">
        <v>231</v>
      </c>
      <c r="R11" s="7" t="s">
        <v>30</v>
      </c>
      <c r="S11" s="13" t="s">
        <v>231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231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242</v>
      </c>
      <c r="B12" s="13" t="s">
        <v>234</v>
      </c>
      <c r="C12" s="13" t="s">
        <v>48</v>
      </c>
      <c r="D12" s="13"/>
      <c r="E12" s="13" t="s">
        <v>232</v>
      </c>
      <c r="F12" s="3">
        <v>0</v>
      </c>
      <c r="G12" s="13" t="s">
        <v>232</v>
      </c>
      <c r="H12" s="3">
        <v>1</v>
      </c>
      <c r="I12" s="13" t="s">
        <v>232</v>
      </c>
      <c r="J12" s="3">
        <v>1</v>
      </c>
      <c r="K12" s="13" t="s">
        <v>232</v>
      </c>
      <c r="L12" s="3">
        <v>1</v>
      </c>
      <c r="M12" s="13" t="s">
        <v>232</v>
      </c>
      <c r="N12" s="3">
        <v>1</v>
      </c>
      <c r="O12" s="7" t="s">
        <v>232</v>
      </c>
      <c r="P12" s="7" t="s">
        <v>223</v>
      </c>
      <c r="Q12" s="7" t="s">
        <v>232</v>
      </c>
      <c r="R12" s="7" t="s">
        <v>30</v>
      </c>
      <c r="S12" s="13" t="s">
        <v>232</v>
      </c>
      <c r="T12" s="3">
        <v>-1</v>
      </c>
      <c r="U12" s="3">
        <v>-1</v>
      </c>
      <c r="V12" s="3">
        <v>-1</v>
      </c>
      <c r="W12" s="3">
        <v>1</v>
      </c>
      <c r="X12" s="3">
        <v>5</v>
      </c>
      <c r="Y12" s="3"/>
      <c r="Z12" s="3"/>
      <c r="AA12" s="13" t="s">
        <v>232</v>
      </c>
      <c r="AB12" s="3">
        <v>4.7911130000000002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235</v>
      </c>
      <c r="B13" s="13" t="s">
        <v>237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0</v>
      </c>
      <c r="I13" s="13" t="s">
        <v>233</v>
      </c>
      <c r="J13" s="3">
        <v>1</v>
      </c>
      <c r="K13" s="13" t="s">
        <v>233</v>
      </c>
      <c r="L13" s="3">
        <v>0</v>
      </c>
      <c r="M13" s="13" t="s">
        <v>233</v>
      </c>
      <c r="N13" s="3">
        <v>0</v>
      </c>
      <c r="O13" s="7" t="s">
        <v>233</v>
      </c>
      <c r="P13" s="7" t="s">
        <v>234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4.4793989999999999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243</v>
      </c>
      <c r="B14" s="13" t="s">
        <v>238</v>
      </c>
      <c r="C14" s="13" t="s">
        <v>50</v>
      </c>
      <c r="D14" s="13"/>
      <c r="E14" s="13" t="s">
        <v>235</v>
      </c>
      <c r="F14" s="3">
        <v>0</v>
      </c>
      <c r="G14" s="13" t="s">
        <v>235</v>
      </c>
      <c r="H14" s="3">
        <v>1</v>
      </c>
      <c r="I14" s="13" t="s">
        <v>235</v>
      </c>
      <c r="J14" s="3">
        <v>1</v>
      </c>
      <c r="K14" s="13" t="s">
        <v>235</v>
      </c>
      <c r="L14" s="3">
        <v>1</v>
      </c>
      <c r="M14" s="13" t="s">
        <v>235</v>
      </c>
      <c r="N14" s="3">
        <v>1</v>
      </c>
      <c r="O14" s="7" t="s">
        <v>235</v>
      </c>
      <c r="P14" s="7" t="s">
        <v>237</v>
      </c>
      <c r="Q14" s="7" t="s">
        <v>235</v>
      </c>
      <c r="R14" s="7" t="s">
        <v>30</v>
      </c>
      <c r="S14" s="13" t="s">
        <v>235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235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236</v>
      </c>
      <c r="B15" s="13" t="s">
        <v>239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1</v>
      </c>
      <c r="I15" s="13" t="s">
        <v>236</v>
      </c>
      <c r="J15" s="3">
        <v>1</v>
      </c>
      <c r="K15" s="13" t="s">
        <v>236</v>
      </c>
      <c r="L15" s="3">
        <v>1</v>
      </c>
      <c r="M15" s="13" t="s">
        <v>236</v>
      </c>
      <c r="N15" s="3">
        <v>1</v>
      </c>
      <c r="O15" s="7" t="s">
        <v>236</v>
      </c>
      <c r="P15" s="7" t="s">
        <v>238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236</v>
      </c>
      <c r="AB15" s="3">
        <v>6.4793989999999999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247</v>
      </c>
      <c r="B16" s="13" t="s">
        <v>245</v>
      </c>
      <c r="C16" s="13" t="s">
        <v>52</v>
      </c>
      <c r="D16" s="13"/>
      <c r="E16" s="13" t="s">
        <v>240</v>
      </c>
      <c r="F16" s="3">
        <v>0</v>
      </c>
      <c r="G16" s="13" t="s">
        <v>240</v>
      </c>
      <c r="H16" s="3">
        <v>0</v>
      </c>
      <c r="I16" s="13" t="s">
        <v>240</v>
      </c>
      <c r="J16" s="3">
        <v>1</v>
      </c>
      <c r="K16" s="13" t="s">
        <v>240</v>
      </c>
      <c r="L16" s="3">
        <v>0</v>
      </c>
      <c r="M16" s="13" t="s">
        <v>240</v>
      </c>
      <c r="N16" s="3">
        <v>0</v>
      </c>
      <c r="O16" s="7" t="s">
        <v>240</v>
      </c>
      <c r="P16" s="7" t="s">
        <v>239</v>
      </c>
      <c r="Q16" s="7" t="s">
        <v>240</v>
      </c>
      <c r="R16" s="7" t="s">
        <v>30</v>
      </c>
      <c r="S16" s="13" t="s">
        <v>240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240</v>
      </c>
      <c r="AB16" s="3">
        <v>100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220</v>
      </c>
      <c r="B17"/>
      <c r="E17" s="13" t="s">
        <v>241</v>
      </c>
      <c r="F17" s="3">
        <v>0</v>
      </c>
      <c r="G17" s="13" t="s">
        <v>241</v>
      </c>
      <c r="H17" s="3">
        <v>1</v>
      </c>
      <c r="I17" s="13" t="s">
        <v>241</v>
      </c>
      <c r="J17" s="3">
        <v>1</v>
      </c>
      <c r="K17" s="13" t="s">
        <v>241</v>
      </c>
      <c r="L17" s="3">
        <v>1</v>
      </c>
      <c r="M17" s="13" t="s">
        <v>241</v>
      </c>
      <c r="N17" s="3">
        <v>1</v>
      </c>
      <c r="O17" s="7" t="s">
        <v>241</v>
      </c>
      <c r="P17" s="7" t="s">
        <v>239</v>
      </c>
      <c r="Q17" s="7" t="s">
        <v>241</v>
      </c>
      <c r="R17" s="7" t="s">
        <v>30</v>
      </c>
      <c r="S17" s="13" t="s">
        <v>241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241</v>
      </c>
      <c r="AB17" s="3">
        <v>7.75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230</v>
      </c>
      <c r="B18"/>
      <c r="E18" s="13" t="s">
        <v>242</v>
      </c>
      <c r="F18" s="3">
        <v>0</v>
      </c>
      <c r="G18" s="13" t="s">
        <v>242</v>
      </c>
      <c r="H18" s="3">
        <v>1</v>
      </c>
      <c r="I18" s="13" t="s">
        <v>242</v>
      </c>
      <c r="J18" s="3">
        <v>1</v>
      </c>
      <c r="K18" s="13" t="s">
        <v>242</v>
      </c>
      <c r="L18" s="3">
        <v>1</v>
      </c>
      <c r="M18" s="13" t="s">
        <v>242</v>
      </c>
      <c r="N18" s="3">
        <v>1</v>
      </c>
      <c r="O18" s="7" t="s">
        <v>242</v>
      </c>
      <c r="P18" s="7" t="s">
        <v>222</v>
      </c>
      <c r="Q18" s="7" t="s">
        <v>242</v>
      </c>
      <c r="R18" s="7" t="s">
        <v>30</v>
      </c>
      <c r="S18" s="13" t="s">
        <v>242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242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232</v>
      </c>
      <c r="B19"/>
      <c r="E19" s="13" t="s">
        <v>243</v>
      </c>
      <c r="F19" s="3">
        <v>0</v>
      </c>
      <c r="G19" s="13" t="s">
        <v>243</v>
      </c>
      <c r="H19" s="3">
        <v>1</v>
      </c>
      <c r="I19" s="13" t="s">
        <v>243</v>
      </c>
      <c r="J19" s="3">
        <v>1</v>
      </c>
      <c r="K19" s="13" t="s">
        <v>243</v>
      </c>
      <c r="L19" s="3">
        <v>1</v>
      </c>
      <c r="M19" s="13" t="s">
        <v>243</v>
      </c>
      <c r="N19" s="3">
        <v>1</v>
      </c>
      <c r="O19" s="7" t="s">
        <v>243</v>
      </c>
      <c r="P19" s="7" t="s">
        <v>221</v>
      </c>
      <c r="Q19" s="7" t="s">
        <v>243</v>
      </c>
      <c r="R19" s="7" t="s">
        <v>30</v>
      </c>
      <c r="S19" s="13" t="s">
        <v>243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243</v>
      </c>
      <c r="AB19" s="3">
        <v>6.4793989999999999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244</v>
      </c>
      <c r="B20"/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219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246</v>
      </c>
      <c r="B21"/>
      <c r="E21" s="13" t="s">
        <v>246</v>
      </c>
      <c r="F21" s="3">
        <v>0</v>
      </c>
      <c r="G21" s="13" t="s">
        <v>246</v>
      </c>
      <c r="H21" s="3">
        <v>0</v>
      </c>
      <c r="I21" s="13" t="s">
        <v>246</v>
      </c>
      <c r="J21" s="3">
        <v>1</v>
      </c>
      <c r="K21" s="13" t="s">
        <v>246</v>
      </c>
      <c r="L21" s="3">
        <v>0</v>
      </c>
      <c r="M21" s="13" t="s">
        <v>246</v>
      </c>
      <c r="N21" s="3">
        <v>0</v>
      </c>
      <c r="O21" s="7" t="s">
        <v>246</v>
      </c>
      <c r="P21" s="7" t="s">
        <v>245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100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1</v>
      </c>
      <c r="G22" s="13" t="s">
        <v>247</v>
      </c>
      <c r="H22" s="3">
        <v>0</v>
      </c>
      <c r="I22" s="13" t="s">
        <v>247</v>
      </c>
      <c r="J22" s="3">
        <v>1</v>
      </c>
      <c r="K22" s="13" t="s">
        <v>247</v>
      </c>
      <c r="L22" s="3">
        <v>1</v>
      </c>
      <c r="M22" s="13" t="s">
        <v>247</v>
      </c>
      <c r="N22" s="3">
        <v>1</v>
      </c>
      <c r="O22" s="7" t="s">
        <v>247</v>
      </c>
      <c r="P22" s="7" t="s">
        <v>222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5</v>
      </c>
      <c r="Y22" s="3"/>
      <c r="Z22" s="3"/>
      <c r="AA22" s="13" t="s">
        <v>247</v>
      </c>
      <c r="AB22" s="3">
        <v>7.4793989999999999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F24" s="7">
        <v>2031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F25" s="7">
        <v>2032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F26" s="7">
        <v>2033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F27" s="7">
        <v>2034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F28" s="7">
        <v>2035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F29" s="7">
        <v>2036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F30" s="7">
        <v>2037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F31" s="7">
        <v>2040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F32" s="7">
        <v>2045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F33" s="7">
        <v>2050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24" sqref="F2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226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229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227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228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225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224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233</v>
      </c>
      <c r="C11" s="7" t="s">
        <v>195</v>
      </c>
      <c r="D11" s="7" t="s">
        <v>30</v>
      </c>
      <c r="E11" s="7" t="s">
        <v>234</v>
      </c>
      <c r="F11" s="7">
        <v>0</v>
      </c>
      <c r="G11" s="7">
        <v>1</v>
      </c>
      <c r="H11" s="7" t="s">
        <v>226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244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226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246</v>
      </c>
      <c r="C13" s="7" t="s">
        <v>195</v>
      </c>
      <c r="D13" s="7" t="s">
        <v>30</v>
      </c>
      <c r="E13" s="7" t="s">
        <v>245</v>
      </c>
      <c r="F13" s="7">
        <v>0</v>
      </c>
      <c r="G13" s="7">
        <v>1</v>
      </c>
      <c r="H13" s="7" t="s">
        <v>226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231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226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235</v>
      </c>
      <c r="C15" s="7" t="s">
        <v>195</v>
      </c>
      <c r="D15" s="7" t="s">
        <v>30</v>
      </c>
      <c r="E15" s="17" t="s">
        <v>237</v>
      </c>
      <c r="F15" s="7">
        <v>1</v>
      </c>
      <c r="G15" s="7">
        <v>1</v>
      </c>
      <c r="H15" s="7" t="s">
        <v>226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236</v>
      </c>
      <c r="C16" s="7" t="s">
        <v>195</v>
      </c>
      <c r="D16" s="7" t="s">
        <v>30</v>
      </c>
      <c r="E16" s="17" t="s">
        <v>238</v>
      </c>
      <c r="F16" s="7">
        <v>1</v>
      </c>
      <c r="G16" s="7">
        <v>1</v>
      </c>
      <c r="H16" s="7" t="s">
        <v>226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242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226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243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226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241</v>
      </c>
      <c r="C19" s="7" t="s">
        <v>195</v>
      </c>
      <c r="D19" s="7" t="s">
        <v>30</v>
      </c>
      <c r="E19" s="17" t="s">
        <v>239</v>
      </c>
      <c r="F19" s="7">
        <v>1</v>
      </c>
      <c r="G19" s="7">
        <v>1</v>
      </c>
      <c r="H19" s="7" t="s">
        <v>226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240</v>
      </c>
      <c r="C20" s="7" t="s">
        <v>195</v>
      </c>
      <c r="D20" s="7" t="s">
        <v>30</v>
      </c>
      <c r="E20" s="17" t="s">
        <v>239</v>
      </c>
      <c r="F20" s="7">
        <v>0</v>
      </c>
      <c r="G20" s="7">
        <v>1</v>
      </c>
      <c r="H20" s="7" t="s">
        <v>226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226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230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226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1</v>
      </c>
      <c r="B23" s="7" t="s">
        <v>247</v>
      </c>
      <c r="C23" s="7" t="s">
        <v>195</v>
      </c>
      <c r="D23" s="7" t="s">
        <v>30</v>
      </c>
      <c r="E23" s="7" t="s">
        <v>222</v>
      </c>
      <c r="F23" s="7">
        <v>0</v>
      </c>
      <c r="G23" s="7">
        <v>1</v>
      </c>
      <c r="H23" s="7" t="s">
        <v>225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7.4793989999999999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232</v>
      </c>
      <c r="C24" s="7" t="s">
        <v>195</v>
      </c>
      <c r="D24" s="7" t="s">
        <v>30</v>
      </c>
      <c r="E24" s="7" t="s">
        <v>223</v>
      </c>
      <c r="F24" s="7">
        <v>1</v>
      </c>
      <c r="G24" s="7">
        <v>1</v>
      </c>
      <c r="H24" s="7" t="s">
        <v>225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2022-06-09T11:08:57Z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